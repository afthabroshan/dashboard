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8_{25F21FB5-FE1B-46E3-ABBC-96CA98511C86}" xr6:coauthVersionLast="47" xr6:coauthVersionMax="47" xr10:uidLastSave="{00000000-0000-0000-0000-000000000000}"/>
  <bookViews>
    <workbookView xWindow="-108" yWindow="-108" windowWidth="23256" windowHeight="13176" tabRatio="573" xr2:uid="{A2A88FE4-5277-4F3E-8B6F-6595600CBD21}"/>
  </bookViews>
  <sheets>
    <sheet name="KOSKO DXB OWN BRAND SALE" sheetId="2" r:id="rId1"/>
  </sheets>
  <definedNames>
    <definedName name="_xlnm._FilterDatabase" localSheetId="0" hidden="1">'KOSKO DXB OWN BRAND SALE'!$C$1:$P$1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" i="2" l="1"/>
  <c r="H100" i="2"/>
  <c r="N577" i="2" l="1"/>
  <c r="N578" i="2"/>
  <c r="N583" i="2"/>
  <c r="N579" i="2"/>
  <c r="N580" i="2"/>
  <c r="N581" i="2"/>
  <c r="E464" i="2"/>
  <c r="E475" i="2"/>
  <c r="E483" i="2"/>
  <c r="E484" i="2"/>
  <c r="E513" i="2"/>
  <c r="E502" i="2"/>
  <c r="E505" i="2"/>
  <c r="E510" i="2"/>
  <c r="E591" i="2" l="1"/>
  <c r="E600" i="2"/>
  <c r="E599" i="2"/>
  <c r="E596" i="2"/>
  <c r="E427" i="2"/>
  <c r="E28" i="2" l="1"/>
  <c r="E70" i="2"/>
  <c r="E46" i="2"/>
  <c r="E56" i="2"/>
  <c r="K56" i="2" s="1"/>
  <c r="N56" i="2" s="1"/>
  <c r="E6" i="2"/>
  <c r="K6" i="2" s="1"/>
  <c r="M6" i="2" s="1"/>
  <c r="E76" i="2"/>
  <c r="E20" i="2"/>
  <c r="E63" i="2"/>
  <c r="K61" i="2"/>
  <c r="E61" i="2"/>
  <c r="E50" i="2"/>
  <c r="E21" i="2"/>
  <c r="E47" i="2"/>
  <c r="E25" i="2"/>
  <c r="E24" i="2"/>
  <c r="E36" i="2"/>
  <c r="E67" i="2"/>
  <c r="E16" i="2"/>
  <c r="E49" i="2"/>
  <c r="E15" i="2"/>
  <c r="E14" i="2"/>
  <c r="E73" i="2"/>
  <c r="E51" i="2"/>
  <c r="E64" i="2"/>
  <c r="M578" i="2"/>
  <c r="M583" i="2"/>
  <c r="M579" i="2"/>
  <c r="M580" i="2"/>
  <c r="M581" i="2"/>
  <c r="M3" i="2"/>
  <c r="M4" i="2"/>
  <c r="N585" i="2"/>
  <c r="N588" i="2"/>
  <c r="N584" i="2"/>
  <c r="N618" i="2"/>
  <c r="K7" i="2"/>
  <c r="M7" i="2" s="1"/>
  <c r="K5" i="2"/>
  <c r="M5" i="2" s="1"/>
  <c r="K9" i="2"/>
  <c r="M9" i="2" s="1"/>
  <c r="M577" i="2"/>
  <c r="M585" i="2"/>
  <c r="M588" i="2"/>
  <c r="M584" i="2"/>
  <c r="M618" i="2"/>
  <c r="E471" i="2"/>
  <c r="E521" i="2"/>
  <c r="E495" i="2"/>
  <c r="E605" i="2"/>
  <c r="E604" i="2"/>
  <c r="E590" i="2"/>
  <c r="E445" i="2"/>
  <c r="E430" i="2"/>
  <c r="E417" i="2"/>
  <c r="E118" i="2"/>
  <c r="E122" i="2"/>
  <c r="N459" i="2"/>
  <c r="N449" i="2"/>
  <c r="N447" i="2"/>
  <c r="N428" i="2"/>
  <c r="N513" i="2"/>
  <c r="K619" i="2"/>
  <c r="N619" i="2" s="1"/>
  <c r="K440" i="2"/>
  <c r="N440" i="2" s="1"/>
  <c r="K439" i="2"/>
  <c r="N439" i="2" s="1"/>
  <c r="K438" i="2"/>
  <c r="N438" i="2" s="1"/>
  <c r="K437" i="2"/>
  <c r="N437" i="2" s="1"/>
  <c r="K453" i="2"/>
  <c r="K454" i="2"/>
  <c r="M454" i="2" s="1"/>
  <c r="K446" i="2"/>
  <c r="K22" i="2"/>
  <c r="N22" i="2" s="1"/>
  <c r="K13" i="2"/>
  <c r="M13" i="2" s="1"/>
  <c r="K29" i="2"/>
  <c r="M29" i="2" s="1"/>
  <c r="K8" i="2"/>
  <c r="M8" i="2" s="1"/>
  <c r="K12" i="2"/>
  <c r="M12" i="2" s="1"/>
  <c r="E466" i="2"/>
  <c r="E548" i="2"/>
  <c r="E547" i="2"/>
  <c r="E542" i="2"/>
  <c r="E564" i="2"/>
  <c r="E544" i="2"/>
  <c r="E561" i="2"/>
  <c r="E562" i="2"/>
  <c r="E567" i="2"/>
  <c r="E541" i="2"/>
  <c r="E560" i="2"/>
  <c r="E569" i="2"/>
  <c r="E556" i="2"/>
  <c r="E555" i="2"/>
  <c r="E565" i="2"/>
  <c r="E574" i="2"/>
  <c r="E563" i="2"/>
  <c r="E566" i="2"/>
  <c r="E507" i="2"/>
  <c r="E514" i="2"/>
  <c r="E482" i="2"/>
  <c r="E519" i="2"/>
  <c r="E506" i="2"/>
  <c r="E500" i="2"/>
  <c r="E497" i="2"/>
  <c r="E478" i="2"/>
  <c r="E508" i="2"/>
  <c r="E518" i="2"/>
  <c r="E520" i="2"/>
  <c r="E515" i="2"/>
  <c r="E606" i="2"/>
  <c r="E597" i="2"/>
  <c r="E598" i="2"/>
  <c r="E607" i="2"/>
  <c r="E593" i="2"/>
  <c r="E587" i="2"/>
  <c r="E601" i="2"/>
  <c r="E603" i="2"/>
  <c r="E424" i="2"/>
  <c r="E172" i="2"/>
  <c r="E134" i="2"/>
  <c r="E138" i="2"/>
  <c r="E177" i="2"/>
  <c r="E157" i="2"/>
  <c r="E149" i="2"/>
  <c r="E173" i="2"/>
  <c r="E133" i="2"/>
  <c r="E159" i="2"/>
  <c r="E143" i="2"/>
  <c r="E167" i="2"/>
  <c r="E142" i="2"/>
  <c r="E154" i="2"/>
  <c r="E139" i="2"/>
  <c r="E158" i="2"/>
  <c r="E148" i="2"/>
  <c r="E144" i="2"/>
  <c r="N7" i="2" l="1"/>
  <c r="N5" i="2"/>
  <c r="N8" i="2"/>
  <c r="N9" i="2"/>
  <c r="N6" i="2"/>
  <c r="K445" i="2"/>
  <c r="N445" i="2" s="1"/>
  <c r="M619" i="2"/>
  <c r="N454" i="2"/>
  <c r="N453" i="2"/>
  <c r="M453" i="2"/>
  <c r="N446" i="2"/>
  <c r="N13" i="2"/>
  <c r="N29" i="2"/>
  <c r="N12" i="2"/>
  <c r="M56" i="2"/>
  <c r="M22" i="2"/>
  <c r="E18" i="2"/>
  <c r="E82" i="2"/>
  <c r="E48" i="2"/>
  <c r="E40" i="2"/>
  <c r="E75" i="2"/>
  <c r="E69" i="2"/>
  <c r="E68" i="2"/>
  <c r="E77" i="2"/>
  <c r="E87" i="2"/>
  <c r="E101" i="2"/>
  <c r="K565" i="2"/>
  <c r="M565" i="2" s="1"/>
  <c r="K559" i="2"/>
  <c r="N559" i="2" s="1"/>
  <c r="K575" i="2"/>
  <c r="N575" i="2" s="1"/>
  <c r="K564" i="2"/>
  <c r="N564" i="2" s="1"/>
  <c r="K569" i="2"/>
  <c r="M569" i="2" s="1"/>
  <c r="K567" i="2"/>
  <c r="N567" i="2" s="1"/>
  <c r="K551" i="2"/>
  <c r="N551" i="2" s="1"/>
  <c r="K574" i="2"/>
  <c r="N574" i="2" s="1"/>
  <c r="K563" i="2"/>
  <c r="M563" i="2" s="1"/>
  <c r="K562" i="2"/>
  <c r="N562" i="2" s="1"/>
  <c r="K566" i="2"/>
  <c r="N566" i="2" s="1"/>
  <c r="K553" i="2"/>
  <c r="N553" i="2" s="1"/>
  <c r="K571" i="2"/>
  <c r="M571" i="2" s="1"/>
  <c r="K542" i="2"/>
  <c r="N542" i="2" s="1"/>
  <c r="K576" i="2"/>
  <c r="N576" i="2" s="1"/>
  <c r="K573" i="2"/>
  <c r="N573" i="2" s="1"/>
  <c r="K568" i="2"/>
  <c r="M568" i="2" s="1"/>
  <c r="K557" i="2"/>
  <c r="N557" i="2" s="1"/>
  <c r="K541" i="2"/>
  <c r="N541" i="2" s="1"/>
  <c r="K572" i="2"/>
  <c r="N572" i="2" s="1"/>
  <c r="K539" i="2"/>
  <c r="M539" i="2" s="1"/>
  <c r="K558" i="2"/>
  <c r="N558" i="2" s="1"/>
  <c r="K540" i="2"/>
  <c r="N540" i="2" s="1"/>
  <c r="K570" i="2"/>
  <c r="N570" i="2" s="1"/>
  <c r="K560" i="2"/>
  <c r="M560" i="2" s="1"/>
  <c r="K548" i="2"/>
  <c r="N548" i="2" s="1"/>
  <c r="K547" i="2"/>
  <c r="N547" i="2" s="1"/>
  <c r="K544" i="2"/>
  <c r="N544" i="2" s="1"/>
  <c r="K556" i="2"/>
  <c r="M556" i="2" s="1"/>
  <c r="K533" i="2"/>
  <c r="N533" i="2" s="1"/>
  <c r="K534" i="2"/>
  <c r="N534" i="2" s="1"/>
  <c r="K561" i="2"/>
  <c r="N561" i="2" s="1"/>
  <c r="K555" i="2"/>
  <c r="N555" i="2" s="1"/>
  <c r="K530" i="2"/>
  <c r="N530" i="2" s="1"/>
  <c r="K546" i="2"/>
  <c r="N546" i="2" s="1"/>
  <c r="K552" i="2"/>
  <c r="N552" i="2" s="1"/>
  <c r="K550" i="2"/>
  <c r="N550" i="2" s="1"/>
  <c r="K549" i="2"/>
  <c r="M549" i="2" s="1"/>
  <c r="K545" i="2"/>
  <c r="N545" i="2" s="1"/>
  <c r="K538" i="2"/>
  <c r="N538" i="2" s="1"/>
  <c r="K537" i="2"/>
  <c r="M537" i="2" s="1"/>
  <c r="K554" i="2"/>
  <c r="N554" i="2" s="1"/>
  <c r="K532" i="2"/>
  <c r="N532" i="2" s="1"/>
  <c r="K536" i="2"/>
  <c r="N536" i="2" s="1"/>
  <c r="K535" i="2"/>
  <c r="M535" i="2" s="1"/>
  <c r="K531" i="2"/>
  <c r="N531" i="2" s="1"/>
  <c r="K543" i="2"/>
  <c r="N543" i="2" s="1"/>
  <c r="F529" i="2"/>
  <c r="E529" i="2"/>
  <c r="F528" i="2"/>
  <c r="E528" i="2"/>
  <c r="F527" i="2"/>
  <c r="E527" i="2"/>
  <c r="N549" i="2" l="1"/>
  <c r="N571" i="2"/>
  <c r="N537" i="2"/>
  <c r="N535" i="2"/>
  <c r="N560" i="2"/>
  <c r="N569" i="2"/>
  <c r="N568" i="2"/>
  <c r="N556" i="2"/>
  <c r="N563" i="2"/>
  <c r="N539" i="2"/>
  <c r="M538" i="2"/>
  <c r="M550" i="2"/>
  <c r="M530" i="2"/>
  <c r="M534" i="2"/>
  <c r="M544" i="2"/>
  <c r="M570" i="2"/>
  <c r="M572" i="2"/>
  <c r="M573" i="2"/>
  <c r="M553" i="2"/>
  <c r="M574" i="2"/>
  <c r="M543" i="2"/>
  <c r="M536" i="2"/>
  <c r="M559" i="2"/>
  <c r="M545" i="2"/>
  <c r="M561" i="2"/>
  <c r="M548" i="2"/>
  <c r="M557" i="2"/>
  <c r="M562" i="2"/>
  <c r="M554" i="2"/>
  <c r="M546" i="2"/>
  <c r="M558" i="2"/>
  <c r="M542" i="2"/>
  <c r="M567" i="2"/>
  <c r="N565" i="2"/>
  <c r="M532" i="2"/>
  <c r="M552" i="2"/>
  <c r="M533" i="2"/>
  <c r="M540" i="2"/>
  <c r="M576" i="2"/>
  <c r="M551" i="2"/>
  <c r="M564" i="2"/>
  <c r="M531" i="2"/>
  <c r="M555" i="2"/>
  <c r="M547" i="2"/>
  <c r="M541" i="2"/>
  <c r="M566" i="2"/>
  <c r="M575" i="2"/>
  <c r="K529" i="2"/>
  <c r="N529" i="2" s="1"/>
  <c r="K527" i="2"/>
  <c r="K528" i="2"/>
  <c r="M529" i="2" l="1"/>
  <c r="N527" i="2"/>
  <c r="M527" i="2"/>
  <c r="N528" i="2"/>
  <c r="M528" i="2"/>
  <c r="K473" i="2" l="1"/>
  <c r="N473" i="2" s="1"/>
  <c r="E470" i="2"/>
  <c r="K470" i="2" s="1"/>
  <c r="E468" i="2"/>
  <c r="K468" i="2" s="1"/>
  <c r="K471" i="2"/>
  <c r="K467" i="2"/>
  <c r="E469" i="2"/>
  <c r="K469" i="2" s="1"/>
  <c r="E472" i="2"/>
  <c r="K472" i="2" s="1"/>
  <c r="K466" i="2"/>
  <c r="K465" i="2"/>
  <c r="K464" i="2"/>
  <c r="K463" i="2"/>
  <c r="K462" i="2"/>
  <c r="N462" i="2" s="1"/>
  <c r="E458" i="2"/>
  <c r="K458" i="2" s="1"/>
  <c r="K460" i="2"/>
  <c r="N460" i="2" s="1"/>
  <c r="K461" i="2"/>
  <c r="E457" i="2"/>
  <c r="K457" i="2" s="1"/>
  <c r="E456" i="2"/>
  <c r="K455" i="2"/>
  <c r="K451" i="2"/>
  <c r="M451" i="2" s="1"/>
  <c r="K450" i="2"/>
  <c r="N450" i="2" s="1"/>
  <c r="K452" i="2"/>
  <c r="K448" i="2"/>
  <c r="M447" i="2"/>
  <c r="M449" i="2"/>
  <c r="K444" i="2"/>
  <c r="N444" i="2" s="1"/>
  <c r="K443" i="2"/>
  <c r="N443" i="2" s="1"/>
  <c r="K442" i="2"/>
  <c r="N442" i="2" s="1"/>
  <c r="E441" i="2"/>
  <c r="L156" i="2"/>
  <c r="K104" i="2"/>
  <c r="N104" i="2" s="1"/>
  <c r="K103" i="2"/>
  <c r="N103" i="2" s="1"/>
  <c r="K107" i="2"/>
  <c r="N107" i="2" s="1"/>
  <c r="K117" i="2"/>
  <c r="N117" i="2" s="1"/>
  <c r="K118" i="2"/>
  <c r="N118" i="2" s="1"/>
  <c r="N268" i="2"/>
  <c r="N463" i="2" l="1"/>
  <c r="M463" i="2"/>
  <c r="K441" i="2"/>
  <c r="N455" i="2"/>
  <c r="K456" i="2"/>
  <c r="M461" i="2"/>
  <c r="N470" i="2"/>
  <c r="M470" i="2"/>
  <c r="N472" i="2"/>
  <c r="M472" i="2"/>
  <c r="N464" i="2"/>
  <c r="M464" i="2"/>
  <c r="N465" i="2"/>
  <c r="M465" i="2"/>
  <c r="N466" i="2"/>
  <c r="M466" i="2"/>
  <c r="N469" i="2"/>
  <c r="M469" i="2"/>
  <c r="N467" i="2"/>
  <c r="M467" i="2"/>
  <c r="N471" i="2"/>
  <c r="M471" i="2"/>
  <c r="N468" i="2"/>
  <c r="M468" i="2"/>
  <c r="M473" i="2"/>
  <c r="M458" i="2"/>
  <c r="N458" i="2"/>
  <c r="N457" i="2"/>
  <c r="M457" i="2"/>
  <c r="N461" i="2"/>
  <c r="M455" i="2"/>
  <c r="M460" i="2"/>
  <c r="M462" i="2"/>
  <c r="N452" i="2"/>
  <c r="N451" i="2"/>
  <c r="N448" i="2"/>
  <c r="M450" i="2"/>
  <c r="M442" i="2"/>
  <c r="M443" i="2"/>
  <c r="M107" i="2"/>
  <c r="M103" i="2"/>
  <c r="M104" i="2"/>
  <c r="M118" i="2"/>
  <c r="M117" i="2"/>
  <c r="K607" i="2"/>
  <c r="M607" i="2" s="1"/>
  <c r="N441" i="2" l="1"/>
  <c r="M441" i="2"/>
  <c r="N456" i="2"/>
  <c r="N607" i="2"/>
  <c r="K582" i="2"/>
  <c r="K590" i="2"/>
  <c r="M590" i="2" s="1"/>
  <c r="K589" i="2"/>
  <c r="M589" i="2" s="1"/>
  <c r="K603" i="2"/>
  <c r="M603" i="2" s="1"/>
  <c r="K597" i="2"/>
  <c r="M597" i="2" s="1"/>
  <c r="K15" i="2"/>
  <c r="N15" i="2" s="1"/>
  <c r="K14" i="2"/>
  <c r="E498" i="2"/>
  <c r="E501" i="2"/>
  <c r="N627" i="2"/>
  <c r="N622" i="2"/>
  <c r="M627" i="2"/>
  <c r="M622" i="2"/>
  <c r="K625" i="2"/>
  <c r="M625" i="2" s="1"/>
  <c r="K628" i="2"/>
  <c r="M628" i="2" s="1"/>
  <c r="K626" i="2"/>
  <c r="M626" i="2" s="1"/>
  <c r="K621" i="2"/>
  <c r="M621" i="2" s="1"/>
  <c r="K623" i="2"/>
  <c r="M623" i="2" s="1"/>
  <c r="K624" i="2"/>
  <c r="M624" i="2" s="1"/>
  <c r="K620" i="2"/>
  <c r="F622" i="2"/>
  <c r="N14" i="2" l="1"/>
  <c r="N582" i="2"/>
  <c r="M582" i="2"/>
  <c r="N597" i="2"/>
  <c r="N603" i="2"/>
  <c r="N589" i="2"/>
  <c r="N590" i="2"/>
  <c r="N625" i="2"/>
  <c r="N628" i="2"/>
  <c r="M15" i="2"/>
  <c r="M14" i="2"/>
  <c r="N620" i="2"/>
  <c r="N623" i="2"/>
  <c r="N621" i="2"/>
  <c r="N626" i="2"/>
  <c r="M620" i="2"/>
  <c r="N624" i="2" l="1"/>
  <c r="L138" i="2"/>
  <c r="K125" i="2"/>
  <c r="K126" i="2"/>
  <c r="N126" i="2" s="1"/>
  <c r="E432" i="2"/>
  <c r="E428" i="2"/>
  <c r="E426" i="2"/>
  <c r="E88" i="2"/>
  <c r="E610" i="2"/>
  <c r="E407" i="2"/>
  <c r="E235" i="2"/>
  <c r="E155" i="2"/>
  <c r="E145" i="2"/>
  <c r="E128" i="2"/>
  <c r="E127" i="2"/>
  <c r="E178" i="2"/>
  <c r="E169" i="2"/>
  <c r="E165" i="2"/>
  <c r="E175" i="2"/>
  <c r="E163" i="2"/>
  <c r="E166" i="2"/>
  <c r="E161" i="2"/>
  <c r="E132" i="2"/>
  <c r="E130" i="2"/>
  <c r="E129" i="2"/>
  <c r="E211" i="2"/>
  <c r="E203" i="2"/>
  <c r="M85" i="2"/>
  <c r="M94" i="2"/>
  <c r="N93" i="2"/>
  <c r="M32" i="2"/>
  <c r="M21" i="2"/>
  <c r="N59" i="2"/>
  <c r="M19" i="2"/>
  <c r="M16" i="2"/>
  <c r="M65" i="2"/>
  <c r="M62" i="2"/>
  <c r="M71" i="2"/>
  <c r="M17" i="2"/>
  <c r="M25" i="2"/>
  <c r="M51" i="2"/>
  <c r="M66" i="2"/>
  <c r="M36" i="2"/>
  <c r="M38" i="2"/>
  <c r="M50" i="2"/>
  <c r="M48" i="2"/>
  <c r="M18" i="2"/>
  <c r="L381" i="2"/>
  <c r="K427" i="2"/>
  <c r="M427" i="2" s="1"/>
  <c r="M428" i="2"/>
  <c r="N592" i="2"/>
  <c r="N19" i="2"/>
  <c r="N16" i="2"/>
  <c r="N65" i="2"/>
  <c r="N62" i="2"/>
  <c r="N71" i="2"/>
  <c r="N17" i="2"/>
  <c r="N25" i="2"/>
  <c r="N51" i="2"/>
  <c r="N66" i="2"/>
  <c r="N36" i="2"/>
  <c r="N38" i="2"/>
  <c r="N50" i="2"/>
  <c r="N48" i="2"/>
  <c r="N18" i="2"/>
  <c r="K230" i="2"/>
  <c r="M230" i="2" s="1"/>
  <c r="K260" i="2"/>
  <c r="M260" i="2" s="1"/>
  <c r="K259" i="2"/>
  <c r="M259" i="2" s="1"/>
  <c r="K430" i="2"/>
  <c r="N430" i="2" s="1"/>
  <c r="K417" i="2"/>
  <c r="M417" i="2" s="1"/>
  <c r="E419" i="2"/>
  <c r="E423" i="2"/>
  <c r="E231" i="2"/>
  <c r="E81" i="2"/>
  <c r="E80" i="2"/>
  <c r="E251" i="2"/>
  <c r="E492" i="2"/>
  <c r="E494" i="2"/>
  <c r="E485" i="2"/>
  <c r="E503" i="2"/>
  <c r="L213" i="2"/>
  <c r="M39" i="2"/>
  <c r="N24" i="2"/>
  <c r="L271" i="2"/>
  <c r="L290" i="2"/>
  <c r="L276" i="2"/>
  <c r="L337" i="2"/>
  <c r="L296" i="2"/>
  <c r="L304" i="2"/>
  <c r="L317" i="2"/>
  <c r="L306" i="2"/>
  <c r="L336" i="2"/>
  <c r="L295" i="2"/>
  <c r="L315" i="2"/>
  <c r="L297" i="2"/>
  <c r="L331" i="2"/>
  <c r="L99" i="2"/>
  <c r="H101" i="2"/>
  <c r="H498" i="2"/>
  <c r="H251" i="2"/>
  <c r="H146" i="2"/>
  <c r="H167" i="2"/>
  <c r="H150" i="2"/>
  <c r="H158" i="2"/>
  <c r="H144" i="2"/>
  <c r="L374" i="2"/>
  <c r="L274" i="2"/>
  <c r="L269" i="2"/>
  <c r="L270" i="2"/>
  <c r="L283" i="2"/>
  <c r="L287" i="2"/>
  <c r="M91" i="2"/>
  <c r="N88" i="2"/>
  <c r="N83" i="2"/>
  <c r="M88" i="2"/>
  <c r="M83" i="2"/>
  <c r="L214" i="2"/>
  <c r="L228" i="2"/>
  <c r="G379" i="2"/>
  <c r="G290" i="2"/>
  <c r="G292" i="2"/>
  <c r="G233" i="2"/>
  <c r="G175" i="2"/>
  <c r="G173" i="2"/>
  <c r="G171" i="2"/>
  <c r="G154" i="2"/>
  <c r="G157" i="2"/>
  <c r="G152" i="2"/>
  <c r="G153" i="2"/>
  <c r="G159" i="2"/>
  <c r="G167" i="2"/>
  <c r="G148" i="2"/>
  <c r="G144" i="2"/>
  <c r="G137" i="2"/>
  <c r="G132" i="2"/>
  <c r="G112" i="2"/>
  <c r="G114" i="2"/>
  <c r="G106" i="2"/>
  <c r="G105" i="2"/>
  <c r="G84" i="2"/>
  <c r="G44" i="2"/>
  <c r="F195" i="2"/>
  <c r="F166" i="2"/>
  <c r="L196" i="2"/>
  <c r="N125" i="2" l="1"/>
  <c r="M126" i="2"/>
  <c r="M125" i="2"/>
  <c r="N230" i="2"/>
  <c r="N260" i="2"/>
  <c r="N259" i="2"/>
  <c r="N427" i="2"/>
  <c r="N417" i="2"/>
  <c r="M430" i="2"/>
  <c r="M93" i="2"/>
  <c r="N39" i="2"/>
  <c r="N32" i="2"/>
  <c r="M59" i="2"/>
  <c r="N21" i="2"/>
  <c r="M24" i="2"/>
  <c r="N91" i="2"/>
  <c r="N85" i="2"/>
  <c r="N94" i="2"/>
  <c r="F101" i="2"/>
  <c r="F616" i="2"/>
  <c r="F272" i="2"/>
  <c r="F271" i="2"/>
  <c r="F269" i="2"/>
  <c r="F270" i="2"/>
  <c r="F289" i="2"/>
  <c r="F291" i="2"/>
  <c r="F292" i="2"/>
  <c r="F288" i="2"/>
  <c r="F277" i="2"/>
  <c r="F285" i="2"/>
  <c r="F282" i="2"/>
  <c r="F284" i="2"/>
  <c r="F276" i="2"/>
  <c r="F280" i="2"/>
  <c r="F240" i="2"/>
  <c r="F257" i="2"/>
  <c r="F252" i="2"/>
  <c r="F244" i="2"/>
  <c r="F246" i="2"/>
  <c r="F233" i="2"/>
  <c r="F253" i="2"/>
  <c r="F237" i="2"/>
  <c r="F232" i="2"/>
  <c r="F239" i="2"/>
  <c r="F179" i="2"/>
  <c r="F181" i="2"/>
  <c r="F182" i="2"/>
  <c r="F180" i="2"/>
  <c r="F221" i="2"/>
  <c r="F222" i="2"/>
  <c r="F217" i="2"/>
  <c r="F216" i="2"/>
  <c r="F204" i="2"/>
  <c r="F206" i="2"/>
  <c r="F211" i="2"/>
  <c r="F208" i="2"/>
  <c r="F177" i="2"/>
  <c r="F150" i="2"/>
  <c r="F162" i="2"/>
  <c r="F153" i="2"/>
  <c r="F159" i="2"/>
  <c r="F171" i="2"/>
  <c r="F157" i="2"/>
  <c r="F152" i="2"/>
  <c r="F160" i="2"/>
  <c r="F174" i="2"/>
  <c r="F175" i="2"/>
  <c r="F173" i="2"/>
  <c r="F158" i="2"/>
  <c r="F144" i="2"/>
  <c r="F147" i="2"/>
  <c r="F151" i="2"/>
  <c r="K140" i="2"/>
  <c r="F225" i="2"/>
  <c r="F223" i="2"/>
  <c r="F111" i="2"/>
  <c r="F108" i="2"/>
  <c r="F109" i="2"/>
  <c r="F114" i="2"/>
  <c r="F188" i="2"/>
  <c r="F189" i="2"/>
  <c r="F197" i="2"/>
  <c r="F200" i="2"/>
  <c r="F190" i="2"/>
  <c r="F187" i="2"/>
  <c r="F193" i="2"/>
  <c r="F90" i="2"/>
  <c r="F31" i="2"/>
  <c r="F86" i="2"/>
  <c r="F84" i="2"/>
  <c r="F53" i="2"/>
  <c r="E429" i="2"/>
  <c r="E422" i="2"/>
  <c r="E435" i="2"/>
  <c r="E241" i="2"/>
  <c r="E256" i="2"/>
  <c r="E243" i="2"/>
  <c r="E242" i="2"/>
  <c r="E97" i="2"/>
  <c r="E78" i="2"/>
  <c r="L412" i="2" l="1"/>
  <c r="L413" i="2"/>
  <c r="L273" i="2"/>
  <c r="L215" i="2"/>
  <c r="K27" i="2"/>
  <c r="K28" i="2"/>
  <c r="E397" i="2"/>
  <c r="K433" i="2"/>
  <c r="K434" i="2"/>
  <c r="K436" i="2"/>
  <c r="N434" i="2" l="1"/>
  <c r="N433" i="2"/>
  <c r="M436" i="2"/>
  <c r="N28" i="2"/>
  <c r="M27" i="2"/>
  <c r="M28" i="2"/>
  <c r="N27" i="2"/>
  <c r="M434" i="2"/>
  <c r="M433" i="2"/>
  <c r="N436" i="2"/>
  <c r="E526" i="2"/>
  <c r="E525" i="2"/>
  <c r="K166" i="2"/>
  <c r="H184" i="2"/>
  <c r="H198" i="2"/>
  <c r="H102" i="2"/>
  <c r="H331" i="2"/>
  <c r="H156" i="2"/>
  <c r="H154" i="2"/>
  <c r="H173" i="2"/>
  <c r="H170" i="2"/>
  <c r="H373" i="2"/>
  <c r="H333" i="2"/>
  <c r="H290" i="2"/>
  <c r="H274" i="2"/>
  <c r="H263" i="2"/>
  <c r="H261" i="2"/>
  <c r="H249" i="2"/>
  <c r="H248" i="2"/>
  <c r="H235" i="2"/>
  <c r="H244" i="2"/>
  <c r="H227" i="2"/>
  <c r="H226" i="2"/>
  <c r="H214" i="2"/>
  <c r="H206" i="2"/>
  <c r="H204" i="2"/>
  <c r="H208" i="2"/>
  <c r="H211" i="2"/>
  <c r="H209" i="2"/>
  <c r="K158" i="2"/>
  <c r="H174" i="2"/>
  <c r="K174" i="2" s="1"/>
  <c r="H61" i="2"/>
  <c r="H231" i="2"/>
  <c r="H424" i="2"/>
  <c r="H250" i="2"/>
  <c r="H510" i="2"/>
  <c r="H474" i="2"/>
  <c r="H315" i="2"/>
  <c r="H254" i="2"/>
  <c r="H262" i="2"/>
  <c r="H258" i="2"/>
  <c r="H257" i="2"/>
  <c r="H159" i="2"/>
  <c r="K159" i="2" s="1"/>
  <c r="H176" i="2"/>
  <c r="H87" i="2"/>
  <c r="H31" i="2"/>
  <c r="H196" i="2"/>
  <c r="H157" i="2"/>
  <c r="K157" i="2" s="1"/>
  <c r="H162" i="2"/>
  <c r="H177" i="2"/>
  <c r="B484" i="2" l="1"/>
  <c r="E614" i="2"/>
  <c r="L184" i="2"/>
  <c r="L229" i="2"/>
  <c r="L338" i="2"/>
  <c r="L350" i="2"/>
  <c r="L382" i="2" l="1"/>
  <c r="K521" i="2" l="1"/>
  <c r="K509" i="2"/>
  <c r="K501" i="2"/>
  <c r="K502" i="2"/>
  <c r="K503" i="2"/>
  <c r="K495" i="2"/>
  <c r="N495" i="2" s="1"/>
  <c r="K486" i="2"/>
  <c r="N486" i="2" s="1"/>
  <c r="K485" i="2"/>
  <c r="N485" i="2" s="1"/>
  <c r="K488" i="2"/>
  <c r="N488" i="2" s="1"/>
  <c r="K523" i="2"/>
  <c r="N523" i="2" s="1"/>
  <c r="K496" i="2"/>
  <c r="K494" i="2"/>
  <c r="K515" i="2"/>
  <c r="N515" i="2" s="1"/>
  <c r="K491" i="2"/>
  <c r="K493" i="2"/>
  <c r="M493" i="2" s="1"/>
  <c r="K512" i="2"/>
  <c r="M512" i="2" s="1"/>
  <c r="K520" i="2"/>
  <c r="M520" i="2" s="1"/>
  <c r="K516" i="2"/>
  <c r="M516" i="2" s="1"/>
  <c r="K522" i="2"/>
  <c r="K518" i="2"/>
  <c r="M518" i="2" s="1"/>
  <c r="K508" i="2"/>
  <c r="M508" i="2" s="1"/>
  <c r="K504" i="2"/>
  <c r="K478" i="2"/>
  <c r="N478" i="2" s="1"/>
  <c r="K497" i="2"/>
  <c r="K525" i="2"/>
  <c r="K487" i="2"/>
  <c r="N487" i="2" s="1"/>
  <c r="K505" i="2"/>
  <c r="K500" i="2"/>
  <c r="N500" i="2" s="1"/>
  <c r="K492" i="2"/>
  <c r="M492" i="2" s="1"/>
  <c r="K506" i="2"/>
  <c r="K519" i="2"/>
  <c r="N519" i="2" s="1"/>
  <c r="K482" i="2"/>
  <c r="N482" i="2" s="1"/>
  <c r="K514" i="2"/>
  <c r="N514" i="2" s="1"/>
  <c r="K526" i="2"/>
  <c r="N526" i="2" s="1"/>
  <c r="K507" i="2"/>
  <c r="K480" i="2"/>
  <c r="M480" i="2" s="1"/>
  <c r="K484" i="2"/>
  <c r="K490" i="2"/>
  <c r="K489" i="2"/>
  <c r="M489" i="2" s="1"/>
  <c r="K483" i="2"/>
  <c r="M483" i="2" s="1"/>
  <c r="K511" i="2"/>
  <c r="M511" i="2" s="1"/>
  <c r="K481" i="2"/>
  <c r="M481" i="2" s="1"/>
  <c r="K477" i="2"/>
  <c r="N477" i="2" s="1"/>
  <c r="K499" i="2"/>
  <c r="N499" i="2" s="1"/>
  <c r="K475" i="2"/>
  <c r="N475" i="2" s="1"/>
  <c r="K524" i="2"/>
  <c r="K476" i="2"/>
  <c r="N476" i="2" s="1"/>
  <c r="K479" i="2"/>
  <c r="N479" i="2" s="1"/>
  <c r="K591" i="2"/>
  <c r="M591" i="2" s="1"/>
  <c r="K599" i="2"/>
  <c r="M599" i="2" s="1"/>
  <c r="K593" i="2"/>
  <c r="N593" i="2" s="1"/>
  <c r="K587" i="2"/>
  <c r="K608" i="2"/>
  <c r="M608" i="2" s="1"/>
  <c r="K595" i="2"/>
  <c r="M595" i="2" s="1"/>
  <c r="K610" i="2"/>
  <c r="M610" i="2" s="1"/>
  <c r="K598" i="2"/>
  <c r="M598" i="2" s="1"/>
  <c r="K609" i="2"/>
  <c r="M609" i="2" s="1"/>
  <c r="K594" i="2"/>
  <c r="K600" i="2"/>
  <c r="M600" i="2" s="1"/>
  <c r="K586" i="2"/>
  <c r="K604" i="2"/>
  <c r="N604" i="2" s="1"/>
  <c r="K605" i="2"/>
  <c r="N605" i="2" s="1"/>
  <c r="K601" i="2"/>
  <c r="M601" i="2" s="1"/>
  <c r="K602" i="2"/>
  <c r="M602" i="2" s="1"/>
  <c r="K596" i="2"/>
  <c r="N596" i="2" s="1"/>
  <c r="K606" i="2"/>
  <c r="H210" i="2"/>
  <c r="E210" i="2"/>
  <c r="I192" i="2"/>
  <c r="I246" i="2"/>
  <c r="I238" i="2"/>
  <c r="I249" i="2"/>
  <c r="I261" i="2"/>
  <c r="I105" i="2"/>
  <c r="H203" i="2"/>
  <c r="H207" i="2"/>
  <c r="H69" i="2"/>
  <c r="H95" i="2"/>
  <c r="H347" i="2"/>
  <c r="H98" i="2"/>
  <c r="H92" i="2"/>
  <c r="H96" i="2"/>
  <c r="H380" i="2"/>
  <c r="K86" i="2"/>
  <c r="L264" i="2"/>
  <c r="N491" i="2" l="1"/>
  <c r="M491" i="2"/>
  <c r="N587" i="2"/>
  <c r="N505" i="2"/>
  <c r="M505" i="2"/>
  <c r="M586" i="2"/>
  <c r="M86" i="2"/>
  <c r="N503" i="2"/>
  <c r="N521" i="2"/>
  <c r="M594" i="2"/>
  <c r="N507" i="2"/>
  <c r="N496" i="2"/>
  <c r="N606" i="2"/>
  <c r="N497" i="2"/>
  <c r="M484" i="2"/>
  <c r="N501" i="2"/>
  <c r="N525" i="2"/>
  <c r="M490" i="2"/>
  <c r="N506" i="2"/>
  <c r="N502" i="2"/>
  <c r="M524" i="2"/>
  <c r="M504" i="2"/>
  <c r="N509" i="2"/>
  <c r="M522" i="2"/>
  <c r="N494" i="2"/>
  <c r="M604" i="2"/>
  <c r="M519" i="2"/>
  <c r="M506" i="2"/>
  <c r="M487" i="2"/>
  <c r="M515" i="2"/>
  <c r="M494" i="2"/>
  <c r="M496" i="2"/>
  <c r="M523" i="2"/>
  <c r="M507" i="2"/>
  <c r="M526" i="2"/>
  <c r="M514" i="2"/>
  <c r="M482" i="2"/>
  <c r="M486" i="2"/>
  <c r="N524" i="2"/>
  <c r="M500" i="2"/>
  <c r="M488" i="2"/>
  <c r="M485" i="2"/>
  <c r="M479" i="2"/>
  <c r="M495" i="2"/>
  <c r="M476" i="2"/>
  <c r="N492" i="2"/>
  <c r="N504" i="2"/>
  <c r="N508" i="2"/>
  <c r="N518" i="2"/>
  <c r="N522" i="2"/>
  <c r="N516" i="2"/>
  <c r="N520" i="2"/>
  <c r="N481" i="2"/>
  <c r="N512" i="2"/>
  <c r="N511" i="2"/>
  <c r="N493" i="2"/>
  <c r="N483" i="2"/>
  <c r="N489" i="2"/>
  <c r="N490" i="2"/>
  <c r="N484" i="2"/>
  <c r="N480" i="2"/>
  <c r="M521" i="2"/>
  <c r="M475" i="2"/>
  <c r="M525" i="2"/>
  <c r="M503" i="2"/>
  <c r="M499" i="2"/>
  <c r="M497" i="2"/>
  <c r="M502" i="2"/>
  <c r="M477" i="2"/>
  <c r="M478" i="2"/>
  <c r="M501" i="2"/>
  <c r="M509" i="2"/>
  <c r="N586" i="2"/>
  <c r="N600" i="2"/>
  <c r="N594" i="2"/>
  <c r="N609" i="2"/>
  <c r="M606" i="2"/>
  <c r="M596" i="2"/>
  <c r="M605" i="2"/>
  <c r="N598" i="2"/>
  <c r="N610" i="2"/>
  <c r="N599" i="2"/>
  <c r="N591" i="2"/>
  <c r="M587" i="2"/>
  <c r="N602" i="2"/>
  <c r="N601" i="2"/>
  <c r="N595" i="2"/>
  <c r="N608" i="2"/>
  <c r="M593" i="2"/>
  <c r="N86" i="2"/>
  <c r="L383" i="2" l="1"/>
  <c r="L351" i="2"/>
  <c r="G510" i="2"/>
  <c r="G517" i="2"/>
  <c r="G400" i="2"/>
  <c r="G404" i="2"/>
  <c r="G382" i="2"/>
  <c r="G349" i="2"/>
  <c r="G177" i="2"/>
  <c r="K177" i="2" s="1"/>
  <c r="G109" i="2"/>
  <c r="G163" i="2"/>
  <c r="G150" i="2"/>
  <c r="G146" i="2"/>
  <c r="G149" i="2"/>
  <c r="G142" i="2"/>
  <c r="G161" i="2"/>
  <c r="F168" i="2"/>
  <c r="F164" i="2"/>
  <c r="F169" i="2"/>
  <c r="K169" i="2" s="1"/>
  <c r="F154" i="2"/>
  <c r="F418" i="2"/>
  <c r="F87" i="2"/>
  <c r="F143" i="2"/>
  <c r="F148" i="2"/>
  <c r="F416" i="2"/>
  <c r="F424" i="2"/>
  <c r="F44" i="2"/>
  <c r="F176" i="2"/>
  <c r="F258" i="2"/>
  <c r="F122" i="2"/>
  <c r="F510" i="2"/>
  <c r="F73" i="2"/>
  <c r="F81" i="2"/>
  <c r="F141" i="2"/>
  <c r="F133" i="2"/>
  <c r="F139" i="2"/>
  <c r="F474" i="2"/>
  <c r="F517" i="2"/>
  <c r="F498" i="2"/>
  <c r="F163" i="2"/>
  <c r="F161" i="2"/>
  <c r="L339" i="2"/>
  <c r="G236" i="2"/>
  <c r="K161" i="2" l="1"/>
  <c r="K163" i="2"/>
  <c r="K176" i="2"/>
  <c r="L265" i="2"/>
  <c r="L198" i="2"/>
  <c r="F172" i="2"/>
  <c r="H168" i="2"/>
  <c r="L134" i="2"/>
  <c r="H385" i="2"/>
  <c r="K385" i="2" s="1"/>
  <c r="H384" i="2"/>
  <c r="H292" i="2"/>
  <c r="H276" i="2"/>
  <c r="H246" i="2"/>
  <c r="H294" i="2"/>
  <c r="H293" i="2"/>
  <c r="H271" i="2"/>
  <c r="K271" i="2" s="1"/>
  <c r="H269" i="2"/>
  <c r="H270" i="2"/>
  <c r="H267" i="2"/>
  <c r="H282" i="2"/>
  <c r="H280" i="2"/>
  <c r="H285" i="2"/>
  <c r="H283" i="2"/>
  <c r="H281" i="2"/>
  <c r="H277" i="2"/>
  <c r="H275" i="2"/>
  <c r="H284" i="2"/>
  <c r="H265" i="2"/>
  <c r="K265" i="2" s="1"/>
  <c r="H272" i="2"/>
  <c r="H241" i="2"/>
  <c r="H286" i="2"/>
  <c r="H517" i="2"/>
  <c r="H172" i="2"/>
  <c r="H136" i="2"/>
  <c r="H135" i="2"/>
  <c r="H134" i="2"/>
  <c r="H138" i="2"/>
  <c r="K138" i="2" s="1"/>
  <c r="M138" i="2" s="1"/>
  <c r="H128" i="2"/>
  <c r="H127" i="2"/>
  <c r="K127" i="2" s="1"/>
  <c r="H20" i="2"/>
  <c r="H131" i="2"/>
  <c r="H64" i="2"/>
  <c r="H99" i="2"/>
  <c r="K99" i="2" s="1"/>
  <c r="H205" i="2"/>
  <c r="H153" i="2"/>
  <c r="H141" i="2"/>
  <c r="K141" i="2" s="1"/>
  <c r="H213" i="2"/>
  <c r="H212" i="2"/>
  <c r="H149" i="2"/>
  <c r="H133" i="2"/>
  <c r="K133" i="2" s="1"/>
  <c r="H143" i="2"/>
  <c r="H147" i="2"/>
  <c r="H171" i="2"/>
  <c r="H164" i="2"/>
  <c r="K164" i="2" s="1"/>
  <c r="H142" i="2"/>
  <c r="H139" i="2"/>
  <c r="K139" i="2" s="1"/>
  <c r="H148" i="2"/>
  <c r="H151" i="2"/>
  <c r="H160" i="2"/>
  <c r="H181" i="2"/>
  <c r="H229" i="2"/>
  <c r="H228" i="2"/>
  <c r="G221" i="2"/>
  <c r="G130" i="2"/>
  <c r="G129" i="2"/>
  <c r="F156" i="2"/>
  <c r="K156" i="2" s="1"/>
  <c r="F196" i="2"/>
  <c r="K196" i="2" s="1"/>
  <c r="G198" i="2"/>
  <c r="F102" i="2"/>
  <c r="K102" i="2" s="1"/>
  <c r="K100" i="2"/>
  <c r="F294" i="2"/>
  <c r="F293" i="2"/>
  <c r="F128" i="2"/>
  <c r="F283" i="2"/>
  <c r="F278" i="2"/>
  <c r="F275" i="2"/>
  <c r="F210" i="2"/>
  <c r="K210" i="2" s="1"/>
  <c r="F205" i="2"/>
  <c r="F178" i="2"/>
  <c r="F165" i="2"/>
  <c r="F213" i="2"/>
  <c r="F203" i="2"/>
  <c r="F212" i="2"/>
  <c r="F215" i="2"/>
  <c r="F207" i="2"/>
  <c r="F214" i="2"/>
  <c r="F170" i="2"/>
  <c r="E220" i="2"/>
  <c r="F227" i="2"/>
  <c r="F229" i="2"/>
  <c r="F228" i="2"/>
  <c r="F226" i="2"/>
  <c r="K189" i="2"/>
  <c r="K188" i="2"/>
  <c r="F617" i="2"/>
  <c r="F614" i="2"/>
  <c r="K614" i="2" s="1"/>
  <c r="F615" i="2"/>
  <c r="F612" i="2"/>
  <c r="F611" i="2"/>
  <c r="F281" i="2"/>
  <c r="F287" i="2"/>
  <c r="F286" i="2"/>
  <c r="F186" i="2"/>
  <c r="F194" i="2"/>
  <c r="K194" i="2" s="1"/>
  <c r="F199" i="2"/>
  <c r="E202" i="2"/>
  <c r="F185" i="2"/>
  <c r="K190" i="2"/>
  <c r="K192" i="2"/>
  <c r="K200" i="2"/>
  <c r="F201" i="2"/>
  <c r="K191" i="2"/>
  <c r="F198" i="2"/>
  <c r="F279" i="2"/>
  <c r="K416" i="2"/>
  <c r="K418" i="2"/>
  <c r="K420" i="2"/>
  <c r="K421" i="2"/>
  <c r="K426" i="2"/>
  <c r="K425" i="2"/>
  <c r="K419" i="2"/>
  <c r="K423" i="2"/>
  <c r="K429" i="2"/>
  <c r="K424" i="2"/>
  <c r="K395" i="2"/>
  <c r="K386" i="2"/>
  <c r="K390" i="2"/>
  <c r="K388" i="2"/>
  <c r="K387" i="2"/>
  <c r="K399" i="2"/>
  <c r="K394" i="2"/>
  <c r="K406" i="2"/>
  <c r="K393" i="2"/>
  <c r="K409" i="2"/>
  <c r="K398" i="2"/>
  <c r="K403" i="2"/>
  <c r="K404" i="2"/>
  <c r="K396" i="2"/>
  <c r="K405" i="2"/>
  <c r="K412" i="2"/>
  <c r="K402" i="2"/>
  <c r="K397" i="2"/>
  <c r="K413" i="2"/>
  <c r="K414" i="2"/>
  <c r="K411" i="2"/>
  <c r="K415" i="2"/>
  <c r="K355" i="2"/>
  <c r="K356" i="2"/>
  <c r="K357" i="2"/>
  <c r="K364" i="2"/>
  <c r="K372" i="2"/>
  <c r="K365" i="2"/>
  <c r="K368" i="2"/>
  <c r="K359" i="2"/>
  <c r="K376" i="2"/>
  <c r="K362" i="2"/>
  <c r="K370" i="2"/>
  <c r="K360" i="2"/>
  <c r="K371" i="2"/>
  <c r="K379" i="2"/>
  <c r="K361" i="2"/>
  <c r="K363" i="2"/>
  <c r="K369" i="2"/>
  <c r="K358" i="2"/>
  <c r="K375" i="2"/>
  <c r="K367" i="2"/>
  <c r="K366" i="2"/>
  <c r="K377" i="2"/>
  <c r="K380" i="2"/>
  <c r="K382" i="2"/>
  <c r="K374" i="2"/>
  <c r="K378" i="2"/>
  <c r="K383" i="2"/>
  <c r="K354" i="2"/>
  <c r="K340" i="2"/>
  <c r="K342" i="2"/>
  <c r="K341" i="2"/>
  <c r="K343" i="2"/>
  <c r="K344" i="2"/>
  <c r="K345" i="2"/>
  <c r="K348" i="2"/>
  <c r="K346" i="2"/>
  <c r="K352" i="2"/>
  <c r="K353" i="2"/>
  <c r="K309" i="2"/>
  <c r="K297" i="2"/>
  <c r="K304" i="2"/>
  <c r="K310" i="2"/>
  <c r="K301" i="2"/>
  <c r="K308" i="2"/>
  <c r="K299" i="2"/>
  <c r="K296" i="2"/>
  <c r="K298" i="2"/>
  <c r="K302" i="2"/>
  <c r="K334" i="2"/>
  <c r="K303" i="2"/>
  <c r="K324" i="2"/>
  <c r="K335" i="2"/>
  <c r="K300" i="2"/>
  <c r="K332" i="2"/>
  <c r="K305" i="2"/>
  <c r="K315" i="2"/>
  <c r="K330" i="2"/>
  <c r="K311" i="2"/>
  <c r="K307" i="2"/>
  <c r="K333" i="2"/>
  <c r="K322" i="2"/>
  <c r="K306" i="2"/>
  <c r="K312" i="2"/>
  <c r="K320" i="2"/>
  <c r="K328" i="2"/>
  <c r="K314" i="2"/>
  <c r="K319" i="2"/>
  <c r="K313" i="2"/>
  <c r="K331" i="2"/>
  <c r="K326" i="2"/>
  <c r="K323" i="2"/>
  <c r="K327" i="2"/>
  <c r="K321" i="2"/>
  <c r="K325" i="2"/>
  <c r="K318" i="2"/>
  <c r="K316" i="2"/>
  <c r="K317" i="2"/>
  <c r="K329" i="2"/>
  <c r="K337" i="2"/>
  <c r="K336" i="2"/>
  <c r="K339" i="2"/>
  <c r="K295" i="2"/>
  <c r="K239" i="2"/>
  <c r="K234" i="2"/>
  <c r="K240" i="2"/>
  <c r="K237" i="2"/>
  <c r="K253" i="2"/>
  <c r="K248" i="2"/>
  <c r="K255" i="2"/>
  <c r="K231" i="2"/>
  <c r="K262" i="2"/>
  <c r="K242" i="2"/>
  <c r="K251" i="2"/>
  <c r="K266" i="2"/>
  <c r="K179" i="2"/>
  <c r="K180" i="2"/>
  <c r="K119" i="2"/>
  <c r="K121" i="2"/>
  <c r="K124" i="2"/>
  <c r="K116" i="2"/>
  <c r="K115" i="2"/>
  <c r="K106" i="2"/>
  <c r="K109" i="2"/>
  <c r="K108" i="2"/>
  <c r="K113" i="2"/>
  <c r="K114" i="2"/>
  <c r="K105" i="2"/>
  <c r="K96" i="2"/>
  <c r="K98" i="2"/>
  <c r="K92" i="2"/>
  <c r="K90" i="2"/>
  <c r="K95" i="2"/>
  <c r="K80" i="2"/>
  <c r="K69" i="2"/>
  <c r="K84" i="2"/>
  <c r="K37" i="2"/>
  <c r="K42" i="2"/>
  <c r="K41" i="2"/>
  <c r="K45" i="2"/>
  <c r="K72" i="2"/>
  <c r="K23" i="2"/>
  <c r="K79" i="2"/>
  <c r="K63" i="2"/>
  <c r="K40" i="2"/>
  <c r="K82" i="2"/>
  <c r="K55" i="2"/>
  <c r="K75" i="2"/>
  <c r="K47" i="2"/>
  <c r="K77" i="2"/>
  <c r="K54" i="2"/>
  <c r="K67" i="2"/>
  <c r="K35" i="2"/>
  <c r="K26" i="2"/>
  <c r="K97" i="2"/>
  <c r="K52" i="2"/>
  <c r="K76" i="2"/>
  <c r="K68" i="2"/>
  <c r="K74" i="2"/>
  <c r="K58" i="2"/>
  <c r="K57" i="2"/>
  <c r="K60" i="2"/>
  <c r="K46" i="2"/>
  <c r="K10" i="2"/>
  <c r="K34" i="2"/>
  <c r="E617" i="2"/>
  <c r="K181" i="2" l="1"/>
  <c r="K185" i="2"/>
  <c r="K20" i="2"/>
  <c r="K384" i="2"/>
  <c r="K128" i="2"/>
  <c r="K199" i="2"/>
  <c r="K193" i="2"/>
  <c r="K617" i="2"/>
  <c r="K151" i="2"/>
  <c r="K147" i="2"/>
  <c r="K168" i="2"/>
  <c r="K198" i="2"/>
  <c r="L352" i="2"/>
  <c r="E284" i="2"/>
  <c r="K284" i="2" s="1"/>
  <c r="L272" i="2"/>
  <c r="K197" i="2"/>
  <c r="K202" i="2"/>
  <c r="M202" i="2" s="1"/>
  <c r="K201" i="2"/>
  <c r="H89" i="2"/>
  <c r="K89" i="2" s="1"/>
  <c r="K474" i="2"/>
  <c r="K498" i="2"/>
  <c r="K517" i="2"/>
  <c r="K510" i="2"/>
  <c r="H233" i="2"/>
  <c r="K81" i="2"/>
  <c r="K101" i="2"/>
  <c r="H53" i="2"/>
  <c r="K53" i="2" s="1"/>
  <c r="K270" i="2"/>
  <c r="K269" i="2"/>
  <c r="G274" i="2"/>
  <c r="G182" i="2"/>
  <c r="G392" i="2"/>
  <c r="K392" i="2" s="1"/>
  <c r="G373" i="2"/>
  <c r="K373" i="2" s="1"/>
  <c r="G184" i="2"/>
  <c r="K184" i="2" s="1"/>
  <c r="G172" i="2"/>
  <c r="K172" i="2" s="1"/>
  <c r="G131" i="2"/>
  <c r="K131" i="2" s="1"/>
  <c r="G267" i="2"/>
  <c r="G381" i="2"/>
  <c r="K381" i="2" s="1"/>
  <c r="K273" i="2"/>
  <c r="G155" i="2"/>
  <c r="K145" i="2"/>
  <c r="G250" i="2"/>
  <c r="K250" i="2" s="1"/>
  <c r="K236" i="2"/>
  <c r="G232" i="2"/>
  <c r="K31" i="2"/>
  <c r="K152" i="2"/>
  <c r="K175" i="2"/>
  <c r="K167" i="2"/>
  <c r="K171" i="2"/>
  <c r="K160" i="2"/>
  <c r="F149" i="2"/>
  <c r="K149" i="2" s="1"/>
  <c r="F142" i="2"/>
  <c r="K142" i="2" s="1"/>
  <c r="E272" i="2"/>
  <c r="F422" i="2"/>
  <c r="F400" i="2"/>
  <c r="K400" i="2" s="1"/>
  <c r="F389" i="2"/>
  <c r="K182" i="2" l="1"/>
  <c r="K267" i="2"/>
  <c r="K73" i="2"/>
  <c r="K422" i="2"/>
  <c r="K274" i="2"/>
  <c r="K233" i="2"/>
  <c r="K272" i="2"/>
  <c r="M510" i="2"/>
  <c r="M474" i="2"/>
  <c r="N498" i="2"/>
  <c r="N474" i="2"/>
  <c r="M498" i="2"/>
  <c r="N510" i="2"/>
  <c r="E229" i="2"/>
  <c r="K229" i="2" s="1"/>
  <c r="E615" i="2"/>
  <c r="K615" i="2" s="1"/>
  <c r="M615" i="2" s="1"/>
  <c r="N615" i="2" l="1"/>
  <c r="M517" i="2"/>
  <c r="N517" i="2"/>
  <c r="E294" i="2"/>
  <c r="K294" i="2" s="1"/>
  <c r="E293" i="2"/>
  <c r="K293" i="2" s="1"/>
  <c r="E283" i="2"/>
  <c r="K283" i="2" s="1"/>
  <c r="M283" i="2" s="1"/>
  <c r="E291" i="2"/>
  <c r="K291" i="2" s="1"/>
  <c r="E278" i="2"/>
  <c r="K278" i="2" s="1"/>
  <c r="E277" i="2"/>
  <c r="K277" i="2" s="1"/>
  <c r="E275" i="2"/>
  <c r="K275" i="2" s="1"/>
  <c r="E209" i="2"/>
  <c r="K209" i="2" s="1"/>
  <c r="E205" i="2"/>
  <c r="K205" i="2" s="1"/>
  <c r="K203" i="2"/>
  <c r="E204" i="2"/>
  <c r="K204" i="2" s="1"/>
  <c r="E206" i="2"/>
  <c r="K206" i="2" s="1"/>
  <c r="K211" i="2"/>
  <c r="E212" i="2"/>
  <c r="K212" i="2" s="1"/>
  <c r="E215" i="2"/>
  <c r="K215" i="2" s="1"/>
  <c r="E208" i="2"/>
  <c r="K208" i="2" s="1"/>
  <c r="E207" i="2"/>
  <c r="K207" i="2" s="1"/>
  <c r="E214" i="2"/>
  <c r="E217" i="2"/>
  <c r="K217" i="2" s="1"/>
  <c r="E218" i="2"/>
  <c r="K220" i="2"/>
  <c r="E219" i="2"/>
  <c r="K219" i="2" s="1"/>
  <c r="E216" i="2"/>
  <c r="K216" i="2" s="1"/>
  <c r="E227" i="2"/>
  <c r="K227" i="2" s="1"/>
  <c r="E228" i="2"/>
  <c r="K228" i="2" s="1"/>
  <c r="E226" i="2"/>
  <c r="K226" i="2" s="1"/>
  <c r="E225" i="2"/>
  <c r="K225" i="2" s="1"/>
  <c r="E223" i="2"/>
  <c r="K223" i="2" s="1"/>
  <c r="E224" i="2"/>
  <c r="K224" i="2" s="1"/>
  <c r="E613" i="2"/>
  <c r="K613" i="2" s="1"/>
  <c r="E616" i="2"/>
  <c r="K616" i="2" s="1"/>
  <c r="E612" i="2"/>
  <c r="K612" i="2" s="1"/>
  <c r="E611" i="2"/>
  <c r="K611" i="2" s="1"/>
  <c r="E288" i="2"/>
  <c r="K288" i="2" s="1"/>
  <c r="E281" i="2"/>
  <c r="E222" i="2"/>
  <c r="K222" i="2" s="1"/>
  <c r="M222" i="2" s="1"/>
  <c r="E221" i="2"/>
  <c r="K221" i="2" s="1"/>
  <c r="E287" i="2"/>
  <c r="K287" i="2" s="1"/>
  <c r="E289" i="2"/>
  <c r="K289" i="2" s="1"/>
  <c r="E286" i="2"/>
  <c r="K286" i="2" s="1"/>
  <c r="E285" i="2"/>
  <c r="K285" i="2" s="1"/>
  <c r="E276" i="2"/>
  <c r="K276" i="2" s="1"/>
  <c r="E290" i="2"/>
  <c r="K290" i="2" s="1"/>
  <c r="E292" i="2"/>
  <c r="K292" i="2" s="1"/>
  <c r="E280" i="2"/>
  <c r="K280" i="2" s="1"/>
  <c r="E279" i="2"/>
  <c r="K279" i="2" s="1"/>
  <c r="E282" i="2"/>
  <c r="K282" i="2" s="1"/>
  <c r="E213" i="2"/>
  <c r="K213" i="2" s="1"/>
  <c r="F134" i="2"/>
  <c r="K134" i="2" s="1"/>
  <c r="F137" i="2"/>
  <c r="K137" i="2" s="1"/>
  <c r="K155" i="2"/>
  <c r="F132" i="2"/>
  <c r="K132" i="2" l="1"/>
  <c r="K214" i="2"/>
  <c r="L353" i="2"/>
  <c r="F183" i="2"/>
  <c r="G389" i="2"/>
  <c r="K391" i="2"/>
  <c r="K410" i="2"/>
  <c r="G350" i="2"/>
  <c r="K350" i="2" s="1"/>
  <c r="G351" i="2"/>
  <c r="K351" i="2" s="1"/>
  <c r="G338" i="2"/>
  <c r="L288" i="2"/>
  <c r="L189" i="2"/>
  <c r="L188" i="2"/>
  <c r="G257" i="2"/>
  <c r="K257" i="2" s="1"/>
  <c r="G246" i="2"/>
  <c r="K246" i="2" s="1"/>
  <c r="G261" i="2"/>
  <c r="K261" i="2" s="1"/>
  <c r="G263" i="2"/>
  <c r="K263" i="2" s="1"/>
  <c r="G252" i="2"/>
  <c r="K252" i="2" s="1"/>
  <c r="K245" i="2"/>
  <c r="K247" i="2"/>
  <c r="G238" i="2"/>
  <c r="K238" i="2" s="1"/>
  <c r="L131" i="2"/>
  <c r="G11" i="2"/>
  <c r="I162" i="2"/>
  <c r="K144" i="2"/>
  <c r="F431" i="2"/>
  <c r="F435" i="2"/>
  <c r="K435" i="2" s="1"/>
  <c r="F338" i="2"/>
  <c r="K183" i="2" l="1"/>
  <c r="K11" i="2"/>
  <c r="K389" i="2"/>
  <c r="K431" i="2"/>
  <c r="K338" i="2"/>
  <c r="M226" i="2"/>
  <c r="N226" i="2"/>
  <c r="M227" i="2"/>
  <c r="M225" i="2"/>
  <c r="M229" i="2"/>
  <c r="N228" i="2"/>
  <c r="N229" i="2"/>
  <c r="N225" i="2"/>
  <c r="M223" i="2"/>
  <c r="M228" i="2"/>
  <c r="M224" i="2"/>
  <c r="N224" i="2"/>
  <c r="N227" i="2"/>
  <c r="N223" i="2"/>
  <c r="M140" i="2" l="1"/>
  <c r="M137" i="2"/>
  <c r="N132" i="2"/>
  <c r="N155" i="2"/>
  <c r="M145" i="2"/>
  <c r="N156" i="2"/>
  <c r="G136" i="2"/>
  <c r="G135" i="2"/>
  <c r="K173" i="2"/>
  <c r="K154" i="2"/>
  <c r="H130" i="2"/>
  <c r="K130" i="2" s="1"/>
  <c r="H129" i="2"/>
  <c r="G178" i="2"/>
  <c r="K178" i="2" s="1"/>
  <c r="N172" i="2"/>
  <c r="N131" i="2"/>
  <c r="G165" i="2"/>
  <c r="K165" i="2" s="1"/>
  <c r="N134" i="2"/>
  <c r="N138" i="2"/>
  <c r="N128" i="2"/>
  <c r="N127" i="2"/>
  <c r="M168" i="2"/>
  <c r="N164" i="2"/>
  <c r="K143" i="2"/>
  <c r="K148" i="2"/>
  <c r="K162" i="2"/>
  <c r="K170" i="2"/>
  <c r="K146" i="2"/>
  <c r="K150" i="2"/>
  <c r="K153" i="2"/>
  <c r="N141" i="2"/>
  <c r="N152" i="2"/>
  <c r="N159" i="2"/>
  <c r="M158" i="2"/>
  <c r="G122" i="2"/>
  <c r="K122" i="2" s="1"/>
  <c r="M116" i="2"/>
  <c r="K123" i="2"/>
  <c r="N101" i="2"/>
  <c r="N102" i="2"/>
  <c r="N100" i="2"/>
  <c r="L414" i="2"/>
  <c r="K347" i="2"/>
  <c r="K186" i="2"/>
  <c r="K244" i="2"/>
  <c r="K232" i="2"/>
  <c r="K64" i="2"/>
  <c r="K70" i="2"/>
  <c r="K87" i="2"/>
  <c r="M87" i="2" s="1"/>
  <c r="K129" i="2" l="1"/>
  <c r="K120" i="2"/>
  <c r="K44" i="2"/>
  <c r="K281" i="2"/>
  <c r="M281" i="2" s="1"/>
  <c r="K195" i="2"/>
  <c r="N195" i="2" s="1"/>
  <c r="K136" i="2"/>
  <c r="N136" i="2" s="1"/>
  <c r="K218" i="2"/>
  <c r="N218" i="2" s="1"/>
  <c r="K187" i="2"/>
  <c r="N187" i="2" s="1"/>
  <c r="K135" i="2"/>
  <c r="N135" i="2" s="1"/>
  <c r="N160" i="2"/>
  <c r="N151" i="2"/>
  <c r="N137" i="2"/>
  <c r="N175" i="2"/>
  <c r="M170" i="2"/>
  <c r="M173" i="2"/>
  <c r="M149" i="2"/>
  <c r="N166" i="2"/>
  <c r="M161" i="2"/>
  <c r="N140" i="2"/>
  <c r="M146" i="2"/>
  <c r="N178" i="2"/>
  <c r="M133" i="2"/>
  <c r="M177" i="2"/>
  <c r="M150" i="2"/>
  <c r="M167" i="2"/>
  <c r="M171" i="2"/>
  <c r="M142" i="2"/>
  <c r="N174" i="2"/>
  <c r="N146" i="2"/>
  <c r="N144" i="2"/>
  <c r="N133" i="2"/>
  <c r="N167" i="2"/>
  <c r="M160" i="2"/>
  <c r="M165" i="2"/>
  <c r="M147" i="2"/>
  <c r="N169" i="2"/>
  <c r="M169" i="2"/>
  <c r="N173" i="2"/>
  <c r="M164" i="2"/>
  <c r="M172" i="2"/>
  <c r="N158" i="2"/>
  <c r="M166" i="2"/>
  <c r="N171" i="2"/>
  <c r="N149" i="2"/>
  <c r="N177" i="2"/>
  <c r="M156" i="2"/>
  <c r="M175" i="2"/>
  <c r="N168" i="2"/>
  <c r="N145" i="2"/>
  <c r="M141" i="2"/>
  <c r="N150" i="2"/>
  <c r="M134" i="2"/>
  <c r="N147" i="2"/>
  <c r="M144" i="2"/>
  <c r="N142" i="2"/>
  <c r="N154" i="2"/>
  <c r="M154" i="2"/>
  <c r="M163" i="2"/>
  <c r="N163" i="2"/>
  <c r="M153" i="2"/>
  <c r="N153" i="2"/>
  <c r="N161" i="2"/>
  <c r="N139" i="2"/>
  <c r="M139" i="2"/>
  <c r="N162" i="2"/>
  <c r="M162" i="2"/>
  <c r="N148" i="2"/>
  <c r="M148" i="2"/>
  <c r="M157" i="2"/>
  <c r="N157" i="2"/>
  <c r="N143" i="2"/>
  <c r="M143" i="2"/>
  <c r="N130" i="2"/>
  <c r="M130" i="2"/>
  <c r="M174" i="2"/>
  <c r="M159" i="2"/>
  <c r="M127" i="2"/>
  <c r="M155" i="2"/>
  <c r="M152" i="2"/>
  <c r="M128" i="2"/>
  <c r="M131" i="2"/>
  <c r="M132" i="2"/>
  <c r="M151" i="2"/>
  <c r="M124" i="2"/>
  <c r="M119" i="2"/>
  <c r="N119" i="2"/>
  <c r="N121" i="2"/>
  <c r="N115" i="2"/>
  <c r="M121" i="2"/>
  <c r="N124" i="2"/>
  <c r="M123" i="2"/>
  <c r="M115" i="2"/>
  <c r="N116" i="2"/>
  <c r="M122" i="2"/>
  <c r="N122" i="2"/>
  <c r="N123" i="2"/>
  <c r="M102" i="2"/>
  <c r="M101" i="2"/>
  <c r="M100" i="2"/>
  <c r="N186" i="2"/>
  <c r="M186" i="2"/>
  <c r="N612" i="2"/>
  <c r="N617" i="2"/>
  <c r="M614" i="2"/>
  <c r="M616" i="2"/>
  <c r="M129" i="2" l="1"/>
  <c r="N129" i="2"/>
  <c r="N120" i="2"/>
  <c r="M120" i="2"/>
  <c r="M135" i="2"/>
  <c r="M187" i="2"/>
  <c r="M195" i="2"/>
  <c r="M136" i="2"/>
  <c r="N281" i="2"/>
  <c r="M613" i="2"/>
  <c r="N170" i="2"/>
  <c r="N165" i="2"/>
  <c r="M178" i="2"/>
  <c r="M176" i="2"/>
  <c r="N176" i="2"/>
  <c r="M218" i="2"/>
  <c r="M617" i="2"/>
  <c r="M612" i="2"/>
  <c r="N611" i="2"/>
  <c r="N613" i="2"/>
  <c r="N616" i="2"/>
  <c r="N614" i="2"/>
  <c r="M611" i="2"/>
  <c r="N222" i="2"/>
  <c r="M294" i="2"/>
  <c r="M293" i="2"/>
  <c r="M290" i="2"/>
  <c r="M289" i="2"/>
  <c r="M291" i="2"/>
  <c r="N288" i="2"/>
  <c r="M292" i="2"/>
  <c r="M279" i="2"/>
  <c r="M280" i="2"/>
  <c r="M276" i="2"/>
  <c r="M284" i="2"/>
  <c r="M285" i="2"/>
  <c r="N286" i="2"/>
  <c r="M287" i="2"/>
  <c r="M275" i="2"/>
  <c r="N221" i="2"/>
  <c r="M219" i="2"/>
  <c r="M220" i="2"/>
  <c r="M216" i="2"/>
  <c r="M207" i="2"/>
  <c r="M208" i="2"/>
  <c r="M215" i="2"/>
  <c r="N212" i="2"/>
  <c r="N211" i="2"/>
  <c r="M206" i="2"/>
  <c r="M204" i="2"/>
  <c r="N203" i="2"/>
  <c r="N213" i="2"/>
  <c r="M210" i="2"/>
  <c r="M205" i="2"/>
  <c r="M209" i="2"/>
  <c r="N214" i="2"/>
  <c r="N196" i="2"/>
  <c r="N188" i="2"/>
  <c r="N189" i="2"/>
  <c r="M191" i="2"/>
  <c r="N201" i="2"/>
  <c r="M200" i="2"/>
  <c r="N192" i="2"/>
  <c r="N185" i="2"/>
  <c r="N202" i="2"/>
  <c r="N199" i="2"/>
  <c r="N194" i="2"/>
  <c r="N197" i="2"/>
  <c r="M193" i="2"/>
  <c r="N198" i="2"/>
  <c r="N282" i="2" l="1"/>
  <c r="N217" i="2"/>
  <c r="M190" i="2"/>
  <c r="M203" i="2"/>
  <c r="N215" i="2"/>
  <c r="M213" i="2"/>
  <c r="M278" i="2"/>
  <c r="N278" i="2"/>
  <c r="M212" i="2"/>
  <c r="N209" i="2"/>
  <c r="M197" i="2"/>
  <c r="N193" i="2"/>
  <c r="N290" i="2"/>
  <c r="N291" i="2"/>
  <c r="N289" i="2"/>
  <c r="N208" i="2"/>
  <c r="M288" i="2"/>
  <c r="N294" i="2"/>
  <c r="N280" i="2"/>
  <c r="N279" i="2"/>
  <c r="M194" i="2"/>
  <c r="N216" i="2"/>
  <c r="M199" i="2"/>
  <c r="N204" i="2"/>
  <c r="M286" i="2"/>
  <c r="N285" i="2"/>
  <c r="N275" i="2"/>
  <c r="N287" i="2"/>
  <c r="N293" i="2"/>
  <c r="M189" i="2"/>
  <c r="N191" i="2"/>
  <c r="N206" i="2"/>
  <c r="N207" i="2"/>
  <c r="M217" i="2"/>
  <c r="M277" i="2"/>
  <c r="M192" i="2"/>
  <c r="N219" i="2"/>
  <c r="N200" i="2"/>
  <c r="M188" i="2"/>
  <c r="N205" i="2"/>
  <c r="N283" i="2"/>
  <c r="N284" i="2"/>
  <c r="M185" i="2"/>
  <c r="N220" i="2"/>
  <c r="N292" i="2"/>
  <c r="M201" i="2"/>
  <c r="M198" i="2"/>
  <c r="M196" i="2"/>
  <c r="N190" i="2"/>
  <c r="M211" i="2"/>
  <c r="N276" i="2"/>
  <c r="N277" i="2"/>
  <c r="M282" i="2"/>
  <c r="M221" i="2"/>
  <c r="N210" i="2"/>
  <c r="M214" i="2"/>
  <c r="M431" i="2" l="1"/>
  <c r="M422" i="2"/>
  <c r="M416" i="2"/>
  <c r="M435" i="2"/>
  <c r="M424" i="2"/>
  <c r="M420" i="2"/>
  <c r="M418" i="2"/>
  <c r="M421" i="2"/>
  <c r="M426" i="2"/>
  <c r="M425" i="2"/>
  <c r="M423" i="2"/>
  <c r="M419" i="2"/>
  <c r="M429" i="2"/>
  <c r="M395" i="2"/>
  <c r="M386" i="2"/>
  <c r="M384" i="2"/>
  <c r="M390" i="2"/>
  <c r="M400" i="2"/>
  <c r="M387" i="2"/>
  <c r="M399" i="2"/>
  <c r="M394" i="2"/>
  <c r="M406" i="2"/>
  <c r="M391" i="2"/>
  <c r="M393" i="2"/>
  <c r="M409" i="2"/>
  <c r="M398" i="2"/>
  <c r="M392" i="2"/>
  <c r="M403" i="2"/>
  <c r="M404" i="2"/>
  <c r="M396" i="2"/>
  <c r="M405" i="2"/>
  <c r="M412" i="2"/>
  <c r="M413" i="2"/>
  <c r="M402" i="2"/>
  <c r="M397" i="2"/>
  <c r="M414" i="2"/>
  <c r="M411" i="2"/>
  <c r="M415" i="2"/>
  <c r="M385" i="2"/>
  <c r="M357" i="2"/>
  <c r="M355" i="2"/>
  <c r="M359" i="2"/>
  <c r="M370" i="2"/>
  <c r="M360" i="2"/>
  <c r="M379" i="2"/>
  <c r="M367" i="2"/>
  <c r="M362" i="2"/>
  <c r="M356" i="2"/>
  <c r="M372" i="2"/>
  <c r="M363" i="2"/>
  <c r="M369" i="2"/>
  <c r="M365" i="2"/>
  <c r="M358" i="2"/>
  <c r="M376" i="2"/>
  <c r="M373" i="2"/>
  <c r="M361" i="2"/>
  <c r="M364" i="2"/>
  <c r="M371" i="2"/>
  <c r="M368" i="2"/>
  <c r="M366" i="2"/>
  <c r="M375" i="2"/>
  <c r="M380" i="2"/>
  <c r="M377" i="2"/>
  <c r="M383" i="2"/>
  <c r="M381" i="2"/>
  <c r="M382" i="2"/>
  <c r="M378" i="2"/>
  <c r="M374" i="2"/>
  <c r="M354" i="2"/>
  <c r="M340" i="2"/>
  <c r="M346" i="2"/>
  <c r="M342" i="2"/>
  <c r="M343" i="2"/>
  <c r="M341" i="2"/>
  <c r="M345" i="2"/>
  <c r="M347" i="2"/>
  <c r="M348" i="2"/>
  <c r="M344" i="2"/>
  <c r="M351" i="2"/>
  <c r="M350" i="2"/>
  <c r="M353" i="2"/>
  <c r="M352" i="2"/>
  <c r="M297" i="2"/>
  <c r="M308" i="2"/>
  <c r="M299" i="2"/>
  <c r="M302" i="2"/>
  <c r="M304" i="2"/>
  <c r="M310" i="2"/>
  <c r="M295" i="2"/>
  <c r="M296" i="2"/>
  <c r="M301" i="2"/>
  <c r="M298" i="2"/>
  <c r="M334" i="2"/>
  <c r="M303" i="2"/>
  <c r="M324" i="2"/>
  <c r="M335" i="2"/>
  <c r="M331" i="2"/>
  <c r="M300" i="2"/>
  <c r="M332" i="2"/>
  <c r="M333" i="2"/>
  <c r="M319" i="2"/>
  <c r="M305" i="2"/>
  <c r="M330" i="2"/>
  <c r="M315" i="2"/>
  <c r="M322" i="2"/>
  <c r="M311" i="2"/>
  <c r="M307" i="2"/>
  <c r="M314" i="2"/>
  <c r="M328" i="2"/>
  <c r="M306" i="2"/>
  <c r="M312" i="2"/>
  <c r="M323" i="2"/>
  <c r="M320" i="2"/>
  <c r="M326" i="2"/>
  <c r="M321" i="2"/>
  <c r="M313" i="2"/>
  <c r="M316" i="2"/>
  <c r="M327" i="2"/>
  <c r="M325" i="2"/>
  <c r="M318" i="2"/>
  <c r="M317" i="2"/>
  <c r="M329" i="2"/>
  <c r="M336" i="2"/>
  <c r="M337" i="2"/>
  <c r="M339" i="2"/>
  <c r="M309" i="2"/>
  <c r="M273" i="2"/>
  <c r="M274" i="2"/>
  <c r="M270" i="2"/>
  <c r="M269" i="2"/>
  <c r="M271" i="2"/>
  <c r="M267" i="2"/>
  <c r="M244" i="2"/>
  <c r="M233" i="2"/>
  <c r="M255" i="2"/>
  <c r="M257" i="2"/>
  <c r="M239" i="2"/>
  <c r="M245" i="2"/>
  <c r="M253" i="2"/>
  <c r="M261" i="2"/>
  <c r="M237" i="2"/>
  <c r="M250" i="2"/>
  <c r="M234" i="2"/>
  <c r="M246" i="2"/>
  <c r="M240" i="2"/>
  <c r="M248" i="2"/>
  <c r="M262" i="2"/>
  <c r="M238" i="2"/>
  <c r="M242" i="2"/>
  <c r="M231" i="2"/>
  <c r="M265" i="2"/>
  <c r="M251" i="2"/>
  <c r="M266" i="2"/>
  <c r="M232" i="2"/>
  <c r="M183" i="2"/>
  <c r="M179" i="2"/>
  <c r="M182" i="2"/>
  <c r="M180" i="2"/>
  <c r="M181" i="2"/>
  <c r="M184" i="2"/>
  <c r="M106" i="2"/>
  <c r="M109" i="2"/>
  <c r="M108" i="2"/>
  <c r="M113" i="2"/>
  <c r="M114" i="2"/>
  <c r="M105" i="2"/>
  <c r="M31" i="2"/>
  <c r="M95" i="2"/>
  <c r="M90" i="2"/>
  <c r="M96" i="2"/>
  <c r="M92" i="2"/>
  <c r="M11" i="2"/>
  <c r="M98" i="2"/>
  <c r="M99" i="2"/>
  <c r="M84" i="2"/>
  <c r="M89" i="2"/>
  <c r="M80" i="2"/>
  <c r="M69" i="2"/>
  <c r="M41" i="2"/>
  <c r="M37" i="2"/>
  <c r="M42" i="2"/>
  <c r="M82" i="2"/>
  <c r="M40" i="2"/>
  <c r="M20" i="2"/>
  <c r="M23" i="2"/>
  <c r="M72" i="2"/>
  <c r="M79" i="2"/>
  <c r="M54" i="2"/>
  <c r="M45" i="2"/>
  <c r="M63" i="2"/>
  <c r="M77" i="2"/>
  <c r="M44" i="2"/>
  <c r="M26" i="2"/>
  <c r="M35" i="2"/>
  <c r="M97" i="2"/>
  <c r="M52" i="2"/>
  <c r="M76" i="2"/>
  <c r="M68" i="2"/>
  <c r="M74" i="2"/>
  <c r="M58" i="2"/>
  <c r="M57" i="2"/>
  <c r="M81" i="2"/>
  <c r="M73" i="2"/>
  <c r="M60" i="2"/>
  <c r="M64" i="2"/>
  <c r="M70" i="2"/>
  <c r="M46" i="2"/>
  <c r="M10" i="2"/>
  <c r="M389" i="2"/>
  <c r="M410" i="2"/>
  <c r="M338" i="2"/>
  <c r="M272" i="2"/>
  <c r="M263" i="2"/>
  <c r="G264" i="2"/>
  <c r="G258" i="2"/>
  <c r="G235" i="2"/>
  <c r="G243" i="2"/>
  <c r="M247" i="2"/>
  <c r="M236" i="2"/>
  <c r="M252" i="2"/>
  <c r="G241" i="2"/>
  <c r="F112" i="2"/>
  <c r="G33" i="2"/>
  <c r="G30" i="2"/>
  <c r="G43" i="2"/>
  <c r="G49" i="2"/>
  <c r="G78" i="2"/>
  <c r="K112" i="2" l="1"/>
  <c r="M112" i="2" s="1"/>
  <c r="K407" i="2"/>
  <c r="M407" i="2" s="1"/>
  <c r="K78" i="2"/>
  <c r="K243" i="2"/>
  <c r="K408" i="2"/>
  <c r="M408" i="2" s="1"/>
  <c r="K49" i="2"/>
  <c r="M49" i="2" s="1"/>
  <c r="K235" i="2"/>
  <c r="N235" i="2" s="1"/>
  <c r="K43" i="2"/>
  <c r="K258" i="2"/>
  <c r="M258" i="2" s="1"/>
  <c r="K432" i="2"/>
  <c r="K30" i="2"/>
  <c r="K264" i="2"/>
  <c r="N264" i="2" s="1"/>
  <c r="K33" i="2"/>
  <c r="K256" i="2"/>
  <c r="N256" i="2" s="1"/>
  <c r="K110" i="2"/>
  <c r="K111" i="2"/>
  <c r="M111" i="2" s="1"/>
  <c r="K249" i="2"/>
  <c r="M249" i="2" s="1"/>
  <c r="K349" i="2"/>
  <c r="M349" i="2" s="1"/>
  <c r="K241" i="2"/>
  <c r="N241" i="2" s="1"/>
  <c r="K254" i="2"/>
  <c r="N254" i="2" s="1"/>
  <c r="K401" i="2"/>
  <c r="M401" i="2" s="1"/>
  <c r="M388" i="2"/>
  <c r="M55" i="2"/>
  <c r="M61" i="2"/>
  <c r="M67" i="2"/>
  <c r="M75" i="2"/>
  <c r="M34" i="2"/>
  <c r="N435" i="2"/>
  <c r="N424" i="2"/>
  <c r="N426" i="2"/>
  <c r="N423" i="2"/>
  <c r="N422" i="2"/>
  <c r="N421" i="2"/>
  <c r="N420" i="2"/>
  <c r="N418" i="2"/>
  <c r="N431" i="2"/>
  <c r="N416" i="2"/>
  <c r="N425" i="2"/>
  <c r="N429" i="2"/>
  <c r="N419" i="2"/>
  <c r="N395" i="2"/>
  <c r="N409" i="2"/>
  <c r="N397" i="2"/>
  <c r="N410" i="2"/>
  <c r="N405" i="2"/>
  <c r="N406" i="2"/>
  <c r="N402" i="2"/>
  <c r="N411" i="2"/>
  <c r="N384" i="2"/>
  <c r="N415" i="2"/>
  <c r="N392" i="2"/>
  <c r="N389" i="2"/>
  <c r="N396" i="2"/>
  <c r="N414" i="2"/>
  <c r="N413" i="2"/>
  <c r="N412" i="2"/>
  <c r="N399" i="2"/>
  <c r="N388" i="2"/>
  <c r="N387" i="2"/>
  <c r="N386" i="2"/>
  <c r="N400" i="2"/>
  <c r="N398" i="2"/>
  <c r="N403" i="2"/>
  <c r="N385" i="2"/>
  <c r="N393" i="2"/>
  <c r="N404" i="2"/>
  <c r="N394" i="2"/>
  <c r="N391" i="2"/>
  <c r="N390" i="2"/>
  <c r="N380" i="2"/>
  <c r="N383" i="2"/>
  <c r="N375" i="2"/>
  <c r="N367" i="2"/>
  <c r="N358" i="2"/>
  <c r="N359" i="2"/>
  <c r="N372" i="2"/>
  <c r="N360" i="2"/>
  <c r="N363" i="2"/>
  <c r="N357" i="2"/>
  <c r="N355" i="2"/>
  <c r="N381" i="2"/>
  <c r="N378" i="2"/>
  <c r="N374" i="2"/>
  <c r="N362" i="2"/>
  <c r="N369" i="2"/>
  <c r="N365" i="2"/>
  <c r="N379" i="2"/>
  <c r="N377" i="2"/>
  <c r="N366" i="2"/>
  <c r="N373" i="2"/>
  <c r="N371" i="2"/>
  <c r="N376" i="2"/>
  <c r="N370" i="2"/>
  <c r="N361" i="2"/>
  <c r="N356" i="2"/>
  <c r="N354" i="2"/>
  <c r="N368" i="2"/>
  <c r="N364" i="2"/>
  <c r="N382" i="2"/>
  <c r="N344" i="2"/>
  <c r="N351" i="2"/>
  <c r="N348" i="2"/>
  <c r="N352" i="2"/>
  <c r="N341" i="2"/>
  <c r="N343" i="2"/>
  <c r="N347" i="2"/>
  <c r="N346" i="2"/>
  <c r="N342" i="2"/>
  <c r="N345" i="2"/>
  <c r="N353" i="2"/>
  <c r="N350" i="2"/>
  <c r="N340" i="2"/>
  <c r="N338" i="2"/>
  <c r="N329" i="2"/>
  <c r="N331" i="2"/>
  <c r="N326" i="2"/>
  <c r="N323" i="2"/>
  <c r="N339" i="2"/>
  <c r="N309" i="2"/>
  <c r="N297" i="2"/>
  <c r="N308" i="2"/>
  <c r="N315" i="2"/>
  <c r="N295" i="2"/>
  <c r="N336" i="2"/>
  <c r="N313" i="2"/>
  <c r="N299" i="2"/>
  <c r="N322" i="2"/>
  <c r="N334" i="2"/>
  <c r="N316" i="2"/>
  <c r="N298" i="2"/>
  <c r="N303" i="2"/>
  <c r="N307" i="2"/>
  <c r="N328" i="2"/>
  <c r="N327" i="2"/>
  <c r="N314" i="2"/>
  <c r="N302" i="2"/>
  <c r="N320" i="2"/>
  <c r="N311" i="2"/>
  <c r="N321" i="2"/>
  <c r="N333" i="2"/>
  <c r="N306" i="2"/>
  <c r="N317" i="2"/>
  <c r="N304" i="2"/>
  <c r="N325" i="2"/>
  <c r="N319" i="2"/>
  <c r="N305" i="2"/>
  <c r="N318" i="2"/>
  <c r="N300" i="2"/>
  <c r="N310" i="2"/>
  <c r="N324" i="2"/>
  <c r="N330" i="2"/>
  <c r="N312" i="2"/>
  <c r="N296" i="2"/>
  <c r="N335" i="2"/>
  <c r="N332" i="2"/>
  <c r="N301" i="2"/>
  <c r="N267" i="2"/>
  <c r="N272" i="2"/>
  <c r="N273" i="2"/>
  <c r="N274" i="2"/>
  <c r="N270" i="2"/>
  <c r="N269" i="2"/>
  <c r="N271" i="2"/>
  <c r="N253" i="2"/>
  <c r="N257" i="2"/>
  <c r="N250" i="2"/>
  <c r="N247" i="2"/>
  <c r="N240" i="2"/>
  <c r="N262" i="2"/>
  <c r="N251" i="2"/>
  <c r="N245" i="2"/>
  <c r="N236" i="2"/>
  <c r="N266" i="2"/>
  <c r="N248" i="2"/>
  <c r="N265" i="2"/>
  <c r="N234" i="2"/>
  <c r="N239" i="2"/>
  <c r="N246" i="2"/>
  <c r="N263" i="2"/>
  <c r="N261" i="2"/>
  <c r="N252" i="2"/>
  <c r="N231" i="2"/>
  <c r="N255" i="2"/>
  <c r="N242" i="2"/>
  <c r="N238" i="2"/>
  <c r="N232" i="2"/>
  <c r="N244" i="2"/>
  <c r="N233" i="2"/>
  <c r="N237" i="2"/>
  <c r="N180" i="2"/>
  <c r="N179" i="2"/>
  <c r="N184" i="2"/>
  <c r="N181" i="2"/>
  <c r="N182" i="2"/>
  <c r="N183" i="2"/>
  <c r="N113" i="2"/>
  <c r="N109" i="2"/>
  <c r="N108" i="2"/>
  <c r="N105" i="2"/>
  <c r="N106" i="2"/>
  <c r="N114" i="2"/>
  <c r="N34" i="2"/>
  <c r="N31" i="2"/>
  <c r="N112" i="2" l="1"/>
  <c r="M78" i="2"/>
  <c r="M110" i="2"/>
  <c r="M30" i="2"/>
  <c r="M43" i="2"/>
  <c r="M243" i="2"/>
  <c r="N432" i="2"/>
  <c r="M33" i="2"/>
  <c r="N401" i="2"/>
  <c r="N243" i="2"/>
  <c r="N249" i="2"/>
  <c r="N349" i="2"/>
  <c r="N408" i="2"/>
  <c r="N111" i="2"/>
  <c r="N110" i="2"/>
  <c r="N407" i="2"/>
  <c r="N258" i="2"/>
  <c r="M254" i="2"/>
  <c r="M256" i="2"/>
  <c r="M235" i="2"/>
  <c r="M241" i="2"/>
  <c r="M264" i="2"/>
  <c r="M432" i="2"/>
  <c r="N337" i="2"/>
  <c r="N52" i="2" l="1"/>
  <c r="N11" i="2"/>
  <c r="N95" i="2"/>
  <c r="N73" i="2"/>
  <c r="N57" i="2"/>
  <c r="N80" i="2"/>
  <c r="N45" i="2"/>
  <c r="N74" i="2"/>
  <c r="N75" i="2"/>
  <c r="N98" i="2"/>
  <c r="N37" i="2"/>
  <c r="N20" i="2"/>
  <c r="N97" i="2"/>
  <c r="N89" i="2"/>
  <c r="N69" i="2"/>
  <c r="N47" i="2"/>
  <c r="N81" i="2"/>
  <c r="N23" i="2"/>
  <c r="N35" i="2"/>
  <c r="N49" i="2"/>
  <c r="N44" i="2"/>
  <c r="N63" i="2"/>
  <c r="N72" i="2"/>
  <c r="N61" i="2"/>
  <c r="N43" i="2"/>
  <c r="N53" i="2"/>
  <c r="N30" i="2"/>
  <c r="N40" i="2"/>
  <c r="N96" i="2"/>
  <c r="N67" i="2"/>
  <c r="N41" i="2"/>
  <c r="N76" i="2"/>
  <c r="N68" i="2"/>
  <c r="N90" i="2"/>
  <c r="N60" i="2"/>
  <c r="N46" i="2"/>
  <c r="N78" i="2"/>
  <c r="N87" i="2"/>
  <c r="N99" i="2"/>
  <c r="N26" i="2"/>
  <c r="N54" i="2"/>
  <c r="N33" i="2"/>
  <c r="N84" i="2"/>
  <c r="N42" i="2"/>
  <c r="N58" i="2"/>
  <c r="N92" i="2"/>
  <c r="N82" i="2"/>
  <c r="N55" i="2"/>
  <c r="N10" i="2"/>
  <c r="N70" i="2"/>
  <c r="N64" i="2"/>
  <c r="N79" i="2"/>
  <c r="N77" i="2"/>
</calcChain>
</file>

<file path=xl/sharedStrings.xml><?xml version="1.0" encoding="utf-8"?>
<sst xmlns="http://schemas.openxmlformats.org/spreadsheetml/2006/main" count="2521" uniqueCount="1188">
  <si>
    <t>SI NO</t>
  </si>
  <si>
    <t>PART NUMBER</t>
  </si>
  <si>
    <t>NAME</t>
  </si>
  <si>
    <t>PURCHASE STOCK</t>
  </si>
  <si>
    <t>STOCK</t>
  </si>
  <si>
    <t>SALE</t>
  </si>
  <si>
    <t>SALE %</t>
  </si>
  <si>
    <t>51750-2H000 APTKOREA</t>
  </si>
  <si>
    <t>ELANTRA 2011 FR</t>
  </si>
  <si>
    <t>51750-39603 APTKOREA</t>
  </si>
  <si>
    <t>51750-3J000 APTKOREA</t>
  </si>
  <si>
    <t>51750-F2000 APTKOREA</t>
  </si>
  <si>
    <t>ELANTRA 2016-2020</t>
  </si>
  <si>
    <t>52730-F2000 APTKOREA</t>
  </si>
  <si>
    <t>52750-F9100 APTKOREA</t>
  </si>
  <si>
    <t>ACCENT 2019-2022 RR</t>
  </si>
  <si>
    <t>58101-1GE00 APTKOREA</t>
  </si>
  <si>
    <t>BRAKE PAD ACCENT 2007-2010</t>
  </si>
  <si>
    <t>58101-2PA70 APTKOREA</t>
  </si>
  <si>
    <t>BRAKE PAD SANTAFE 2012-2015 FR</t>
  </si>
  <si>
    <t>58101-2SA70 APTKOREA</t>
  </si>
  <si>
    <t>BRAKE PAD TUCSON 2012-2016 FR</t>
  </si>
  <si>
    <t>58101-2TA21 APTKOREA</t>
  </si>
  <si>
    <t>BRAKE PAD OPTIMA 2012-2016 FR</t>
  </si>
  <si>
    <t>58101-2WA00 APTKOREA</t>
  </si>
  <si>
    <t>BRAKE PAD SANTAFE  2012-2015 , FRONT</t>
  </si>
  <si>
    <t>58101-3RA05 APTKOREA</t>
  </si>
  <si>
    <t>BRAKE PAD CADENZA 2010-2015 FR</t>
  </si>
  <si>
    <t>58101-3SA20 APTKOREA</t>
  </si>
  <si>
    <t>BRAKE PAD SONATA 2012-2015,FR</t>
  </si>
  <si>
    <t>58101-3VA70 APTKOREA</t>
  </si>
  <si>
    <t>BRAKE PAD AZEERA 2013-2016 FR</t>
  </si>
  <si>
    <t>58101-4HA10 APTKOREA</t>
  </si>
  <si>
    <t>BRAKE PAD H1 2010-2017</t>
  </si>
  <si>
    <t>58101-AAA00 APTKOREA</t>
  </si>
  <si>
    <t>BRAKE PAD ELANTRA 2021-2024</t>
  </si>
  <si>
    <t>58101-C1A00 APTKOREA</t>
  </si>
  <si>
    <t>BRAKE PAD SONATA 2016-2019,FR</t>
  </si>
  <si>
    <t>58101-D3A11 APTKOREA</t>
  </si>
  <si>
    <t>BRAKE PAD TUCSON, SPORTEGE 2017-2020 FR</t>
  </si>
  <si>
    <t>58101-D4A00 APTKOREA</t>
  </si>
  <si>
    <t>BRAKE PAD SONATA,OPTIMA 2017-2019 FR</t>
  </si>
  <si>
    <t>58101-D4A20 APTKOREA</t>
  </si>
  <si>
    <t>58101-D7A10 APTKOREA</t>
  </si>
  <si>
    <t>BRAKE PAD TUCSON 2016-2019</t>
  </si>
  <si>
    <t>58101-F2A00 APTKOREA</t>
  </si>
  <si>
    <t>BRAKE PAD ELANTRA 2017-2020</t>
  </si>
  <si>
    <t>58101-F6A21 APTKOREA</t>
  </si>
  <si>
    <t>BRAKE PAD CADENZA 2016-2019 FR</t>
  </si>
  <si>
    <t>58101-G8A30 APTKOREA</t>
  </si>
  <si>
    <t>BRAKE PAD AZEERA 2018-2022 FR</t>
  </si>
  <si>
    <t>58101-H6A00 APTKOREA</t>
  </si>
  <si>
    <t>BRAKE PAD ACCENT 2020-2024</t>
  </si>
  <si>
    <t>58302-2HA00 APTKOREA</t>
  </si>
  <si>
    <t>BRAKE PAD ELANTRA 2006-2011</t>
  </si>
  <si>
    <t>58302-2PA70 APTKOREA</t>
  </si>
  <si>
    <t>BRAKE PAD SANTAFE 2012-2015 RR</t>
  </si>
  <si>
    <t>58302-2SA30 APTKOREA</t>
  </si>
  <si>
    <t>BRAKE PAD TUCSON 2012-2016 RR</t>
  </si>
  <si>
    <t>58302-2SA70 APTKOREA</t>
  </si>
  <si>
    <t>58302-2WA00 APTKOREA</t>
  </si>
  <si>
    <t>BRAKE PAD SANTAFE 2012-2016</t>
  </si>
  <si>
    <t>58302-3KA62 APTKOREA</t>
  </si>
  <si>
    <t>BRAKE PAD SONATA 2006-2010 RR</t>
  </si>
  <si>
    <t>58302-3QA10 APTKOREA</t>
  </si>
  <si>
    <t>BRAKE PAD SONATA 2006-2011 RR</t>
  </si>
  <si>
    <t>58302-3RA00 APTKOREA</t>
  </si>
  <si>
    <t>BRAKE PAD CADENZA 2011-2015 RR</t>
  </si>
  <si>
    <t>58302-3SA20 APTKOREA</t>
  </si>
  <si>
    <t>BRAKE PAD SONATA 2012-2014</t>
  </si>
  <si>
    <t>58302-3VA50 APTKOREA</t>
  </si>
  <si>
    <t>BRAKE PAD AZEERA 2012-2015 RR</t>
  </si>
  <si>
    <t>58302-3XA30 APTKOREA</t>
  </si>
  <si>
    <t>58302-4HA00 APTKOREA</t>
  </si>
  <si>
    <t>BRAKE PAD H1 2007-2015 RR</t>
  </si>
  <si>
    <t>58302-A9A10 APTKOREA</t>
  </si>
  <si>
    <t>BRAKE PAD CARNIVEL 2017-2020 RR</t>
  </si>
  <si>
    <t>58302-C1A00 APTKOREA</t>
  </si>
  <si>
    <t>BRAKE PAD SONATA 2016-2019 RR</t>
  </si>
  <si>
    <t>58302-D3A00 APTKOREA</t>
  </si>
  <si>
    <t>BRAKE PAD TUCSON 2016-2018 RR</t>
  </si>
  <si>
    <t>58302-F2A30 APTKOREA</t>
  </si>
  <si>
    <t>58302-F6A10 APTKOREA</t>
  </si>
  <si>
    <t>BRAKE PAD CADENZA 2015-2018 RR</t>
  </si>
  <si>
    <t>58302-H6A00 APTKOREA</t>
  </si>
  <si>
    <t>BRAKE PAD ACCENT 2018-2022 RR</t>
  </si>
  <si>
    <t>58302-L0A15 APTKOREA</t>
  </si>
  <si>
    <t>BRAKE PAD AZEERA 2019-2022 RR</t>
  </si>
  <si>
    <t>58302-L1A00 APTKOREA</t>
  </si>
  <si>
    <t>BRAKE PAD SONATA 2019-2022 RR</t>
  </si>
  <si>
    <t>58305-2HA10 APTKOREA</t>
  </si>
  <si>
    <t>BRAKE SHOE BRAKE SHOE , ELANTRA 2006-2011</t>
  </si>
  <si>
    <t>CABIN AIR FILTER</t>
  </si>
  <si>
    <t>97133-A9000 APTKOREA</t>
  </si>
  <si>
    <t>AIR FILTER APT</t>
  </si>
  <si>
    <t>97133-C1000 APTKOREA</t>
  </si>
  <si>
    <t>97133-D1000 APTKOREA</t>
  </si>
  <si>
    <t>97133-F2000 APTKOREA</t>
  </si>
  <si>
    <t>97133-L1000 APTKOREA</t>
  </si>
  <si>
    <t>97617-4H000 APTKOREA</t>
  </si>
  <si>
    <t>54650-1E200 APTKOREA</t>
  </si>
  <si>
    <t>FRONT LH SHOCK ABSORBER ACCENT 2006-2011</t>
  </si>
  <si>
    <t>54650-1R000 APTKOREA</t>
  </si>
  <si>
    <t>FRONT LH SHOCK ABSORBER ACCENT 2012-2016</t>
  </si>
  <si>
    <t>54650-4H000 APTKOREA</t>
  </si>
  <si>
    <t>FRONT LH SHOCK ABSORBER H1 2007-2017</t>
  </si>
  <si>
    <t>54650-C1000 APTKOREA</t>
  </si>
  <si>
    <t>FRONT LH SHOCK ABSORBER SONATA 2016-2018</t>
  </si>
  <si>
    <t>54651-2T232 APTKOREA</t>
  </si>
  <si>
    <t>FRONT LH SHOCK ABSORBER SONATA 2011-2014</t>
  </si>
  <si>
    <t>54651-3X250 APTKOREA</t>
  </si>
  <si>
    <t>FRONT LH SHOCK ABSORBER ELENTRA 2012-2015</t>
  </si>
  <si>
    <t>54651-A7100 APTKOREA</t>
  </si>
  <si>
    <t>FRONT LH SHOCK ABSORBER KIA CIRATO 2015-2018</t>
  </si>
  <si>
    <t>54651-A9000 APTKOREA</t>
  </si>
  <si>
    <t>FRONT LH SHOCK ABSORBER KIA CARNIVAL 2016-2019</t>
  </si>
  <si>
    <t>54651-F2500 APTKOREA</t>
  </si>
  <si>
    <t>FRONT LH SHOCK ABSORBER ELENTRA 2016-2019</t>
  </si>
  <si>
    <t>54660-1E200 APTKOREA</t>
  </si>
  <si>
    <t>FRONT RH SHOCK ABSORBER ACCENT 2006-2011</t>
  </si>
  <si>
    <t>54660-1R000 APTKOREA</t>
  </si>
  <si>
    <t>FRONT RH SHOCK ABSORBER ACCENT 2012-2016</t>
  </si>
  <si>
    <t>54660-4H000 APTKOREA</t>
  </si>
  <si>
    <t>FRONT RH SHOCK ABSORBER H1 2007-2017</t>
  </si>
  <si>
    <t>54660-C1000 APTKOREA</t>
  </si>
  <si>
    <t>FRONT RH SHOCK ABSORBER SONATA 2016-2018</t>
  </si>
  <si>
    <t>54661-2T232 APTKOREA</t>
  </si>
  <si>
    <t>FRONT RH SHOCK ABSORBER SONATA 2011-2014</t>
  </si>
  <si>
    <t>54661-3X250 APTKOREA</t>
  </si>
  <si>
    <t>FRONT RH SHOCK ABSORBER ELENTRA 2012-2015</t>
  </si>
  <si>
    <t>54661-A7100 APTKOREA</t>
  </si>
  <si>
    <t>FRONT RH SHOCK ABSORBER KIA CIRATO 2015-2018</t>
  </si>
  <si>
    <t>54661-A9000 APTKOREA</t>
  </si>
  <si>
    <t>FRONT RH SHOCK ABSORBER KIA CARNIVAL 2016-2019</t>
  </si>
  <si>
    <t>54661-F2500 APTKOREA</t>
  </si>
  <si>
    <t>FRONT RH SHOCK ABSORBER ELENTRA 2016-2019</t>
  </si>
  <si>
    <t>26300-02503 APTKOREA</t>
  </si>
  <si>
    <t>OIL FILTER APT</t>
  </si>
  <si>
    <t>26300-35505 APTKOREA</t>
  </si>
  <si>
    <t>26320-3C100 APTKOREA</t>
  </si>
  <si>
    <t>26320-3C250 APTKOREA</t>
  </si>
  <si>
    <t>26320-3CAA0 APTKOREA</t>
  </si>
  <si>
    <t>26350-2J000 APTKOREA</t>
  </si>
  <si>
    <t>26350-2M000 APTKOREA</t>
  </si>
  <si>
    <t>26350-2S000 APTKOREA</t>
  </si>
  <si>
    <t>APT SPARES-CHINA</t>
  </si>
  <si>
    <t>C211F260301-0600/110</t>
  </si>
  <si>
    <t>BRAKE PAD FRONT LH &amp; RH CHANGAN EADO PLUS</t>
  </si>
  <si>
    <t>BRAKE PAD CRUZE 2011-2017 RR</t>
  </si>
  <si>
    <t>BRAKE PAD CRUZE 2010-2017 FR</t>
  </si>
  <si>
    <t>13312895 APTUSA</t>
  </si>
  <si>
    <t>IMALA,TERRAIN 2013-2017 FR</t>
  </si>
  <si>
    <t>BRAKE PAD YOUKON 2007-2020 RR</t>
  </si>
  <si>
    <t>BRAKE PAD ACADIA 07-15, TRAILBLAZER 2006-2009, RR</t>
  </si>
  <si>
    <t>BRAKE PAD GMC 2004-2006 RR</t>
  </si>
  <si>
    <t>BRAKE PAD MALIBU2009-2012 RR</t>
  </si>
  <si>
    <t>BRAKE PAD ACADIA 07-15, TRAILBLAZER 2006-2009, FR</t>
  </si>
  <si>
    <t>BRAKE PAD MALIBU 2009-2012 FR</t>
  </si>
  <si>
    <t>BRAKE PAD IMPALA 2014-2018 RR</t>
  </si>
  <si>
    <t>BRAKE PAD GMC 2007-2020, RR</t>
  </si>
  <si>
    <t>BRAKE PAD GMC 2007-2020, FR</t>
  </si>
  <si>
    <t>171-1245 APTUSA</t>
  </si>
  <si>
    <t>BRAKE PAD GMC 2000-2006 FR</t>
  </si>
  <si>
    <t>BRAKE PAD GMC 2000-2006 RR</t>
  </si>
  <si>
    <t>BRAKE PAD CAPRICE 2007-2016 FR</t>
  </si>
  <si>
    <t>BRAKE PAD CAPRICE 2007-2016 RR</t>
  </si>
  <si>
    <t>BRAKE PAD MALIBU 2013-2016 FR</t>
  </si>
  <si>
    <t>BRAKE PAD SPARK 2016-2022 FR</t>
  </si>
  <si>
    <t>BRAKE PAD MALIBU 2017-2022 FR</t>
  </si>
  <si>
    <t>BRAKE PAD TERRAIN, MALIBU 2019-2022 RR</t>
  </si>
  <si>
    <t>92192305 APTUSA</t>
  </si>
  <si>
    <t>CAPRICE 2007-2013</t>
  </si>
  <si>
    <t>BRAKE PAD EPICA 2004-2006,OPTRA 2004-2011 FR</t>
  </si>
  <si>
    <t>BRAKE PAD AVEO 2004-2015, FR</t>
  </si>
  <si>
    <t>BRAKE PAD EXPLORER 2006-2010 FR</t>
  </si>
  <si>
    <t>BR1414 APTUSA</t>
  </si>
  <si>
    <t>EXPEDITION 2009-2017 FR</t>
  </si>
  <si>
    <t>BRAKE PAD F-150 2012-2020 RR</t>
  </si>
  <si>
    <t>BRAKE PAD CROWN VICTORIA 2003-2011 FR</t>
  </si>
  <si>
    <t>BRAKE PAD TAURUS,EXPLORER,FLEX 2009-2017 FR</t>
  </si>
  <si>
    <t>BRF1475 APTUSA</t>
  </si>
  <si>
    <t>EXPLORER,FLEX 2011-2017 FR</t>
  </si>
  <si>
    <t>BRAKE PAD TAURUS,EDGE, FLEX,EXPLORER 2009-2017 RR</t>
  </si>
  <si>
    <t>BRAKE PAD EXPEDITION 2009-2017 FR</t>
  </si>
  <si>
    <t>FW-291 APTUSA</t>
  </si>
  <si>
    <t>GMC YUKON,TAHOE 2000-2006</t>
  </si>
  <si>
    <t>FW-324 APTUSA</t>
  </si>
  <si>
    <t>FW-345 APTUSA</t>
  </si>
  <si>
    <t>GMC YUKON 2007-2014</t>
  </si>
  <si>
    <t>FW-435 APTUSA</t>
  </si>
  <si>
    <t>MHUB-182 TOP APTUSA</t>
  </si>
  <si>
    <t>FORD TAURUS FR,RR 2009-2017</t>
  </si>
  <si>
    <t>MHUB-87 TOP APTUSA</t>
  </si>
  <si>
    <t>FORD EXPLORER FR,RR 2011-2019</t>
  </si>
  <si>
    <t>MARC HYUNDAI</t>
  </si>
  <si>
    <t>58101-1GE00 MARC HY</t>
  </si>
  <si>
    <t>BRAKE PAD ACCENT 2006-2011,FR</t>
  </si>
  <si>
    <t>58101-1RA00 MARC HY</t>
  </si>
  <si>
    <t>BRAKE PAD ACCENT 2011-2016, FR</t>
  </si>
  <si>
    <t>58101-2CA11 MARC HY</t>
  </si>
  <si>
    <t>BRAKE PAD ELANTRA 2006-2010 FR</t>
  </si>
  <si>
    <t>58101-2PA70 MARC HY</t>
  </si>
  <si>
    <t>58101-2SA30 MARC HY</t>
  </si>
  <si>
    <t>BRAKE PAD TUCSON 2011-2016,FR</t>
  </si>
  <si>
    <t>58101-2SA70 MARC HY</t>
  </si>
  <si>
    <t>58101-2TA00 MARC HY</t>
  </si>
  <si>
    <t>BRAKE PAD OPTIMA 2012-2015 FR</t>
  </si>
  <si>
    <t>58101-2TA21 MARC HY</t>
  </si>
  <si>
    <t>58101-3RA05 MARC HY</t>
  </si>
  <si>
    <t>58101-3SA20 MARC HY</t>
  </si>
  <si>
    <t>58101-3VA50 MARC HY</t>
  </si>
  <si>
    <t>BRAKE PAD AZEERA 2012-2015 FR</t>
  </si>
  <si>
    <t>58101-3VA70 MARC HY</t>
  </si>
  <si>
    <t>58101-4HA10 MARC HY</t>
  </si>
  <si>
    <t>BRAKE PAD H1 2007-2015 FR</t>
  </si>
  <si>
    <t>58101-AAA00 MARC HY</t>
  </si>
  <si>
    <t>BRAKE PAD ELANTRA 2019-2022 FR</t>
  </si>
  <si>
    <t>58101-C1A00 MARC HY</t>
  </si>
  <si>
    <t>58101-D3A11 MARC HY</t>
  </si>
  <si>
    <t>58101-D4A00 MARC HY</t>
  </si>
  <si>
    <t>58101-D4A20 MARC HY</t>
  </si>
  <si>
    <t>58101-F2A00 MARC HY</t>
  </si>
  <si>
    <t>BRAKE PAD ELANTRA 2016-2019 FR</t>
  </si>
  <si>
    <t>58101-F6A21 MARC HY</t>
  </si>
  <si>
    <t>58101-G8A30 MARC HY</t>
  </si>
  <si>
    <t>58101-H6A15 MARC HY</t>
  </si>
  <si>
    <t>BRAKE PAD ACCENT 2018-2022,FR</t>
  </si>
  <si>
    <t>58101-L1A00 MARC HY</t>
  </si>
  <si>
    <t>BRAKE PAD SONATA 2020-2022 FR</t>
  </si>
  <si>
    <t>58302-1RA30 MARC HY</t>
  </si>
  <si>
    <t>BRAKE PAD ACCENT,ELANTRA 2012-2015 RR</t>
  </si>
  <si>
    <t>58302-2HA00 MARC HY</t>
  </si>
  <si>
    <t>BRAKE PAD ELANTRA 2006-2011 RR</t>
  </si>
  <si>
    <t>58302-2PA70 MARC HY</t>
  </si>
  <si>
    <t>58302-2SA30 MARC HY</t>
  </si>
  <si>
    <t>58302-2SA70 MARC HY</t>
  </si>
  <si>
    <t>58302-3KA62 MARC HY</t>
  </si>
  <si>
    <t>58302-3QA10 MARC HY</t>
  </si>
  <si>
    <t>58302-3RA00 MARC HY</t>
  </si>
  <si>
    <t>58302-3SA20 MARC HY</t>
  </si>
  <si>
    <t>BRAKE PAD SONATA 2011-2015 RR</t>
  </si>
  <si>
    <t>58302-3VA50 MARC HY</t>
  </si>
  <si>
    <t>58302-3XA30 MARC HY</t>
  </si>
  <si>
    <t>BRAKE PAD ELANTRA 2012-2015 RR</t>
  </si>
  <si>
    <t>58302-4HA00 MARC HY</t>
  </si>
  <si>
    <t>58302-A9A10 MARC HY</t>
  </si>
  <si>
    <t>58302-AAA30 MARC HY</t>
  </si>
  <si>
    <t>BRAKE PAD ELANTRA 2019-2022 RR</t>
  </si>
  <si>
    <t>58302-AAA40 MARC HY</t>
  </si>
  <si>
    <t>ELANTRA 2019-2022 -RR</t>
  </si>
  <si>
    <t>58302-C1A00 MARC HY</t>
  </si>
  <si>
    <t>58302-C1A15 MARC HY</t>
  </si>
  <si>
    <t>58302-D3A00 MARC HY</t>
  </si>
  <si>
    <t>58302-F2A30 MARC HY</t>
  </si>
  <si>
    <t>BRAKE PAD ELANTRA 2015-2018 RR</t>
  </si>
  <si>
    <t>58302-F6A10 MARC HY</t>
  </si>
  <si>
    <t>58302-L0A15 MARC HY</t>
  </si>
  <si>
    <t>58302-L1A00 MARC HY</t>
  </si>
  <si>
    <t>MARC NISSAN</t>
  </si>
  <si>
    <t>BRAKE PAD MARC</t>
  </si>
  <si>
    <t>41060-6N0X1 MARC NI</t>
  </si>
  <si>
    <t>BRAKE PAD SUNNY 99-2007</t>
  </si>
  <si>
    <t>41060-89EX1 MARC NI</t>
  </si>
  <si>
    <t>BRAKE PAD ALTIMA + SENTRA</t>
  </si>
  <si>
    <t>41060-89EX2 MARC NI</t>
  </si>
  <si>
    <t>BRAKE PAD NISSAN MAXIMA 2001-2009</t>
  </si>
  <si>
    <t>41060-EE30J MARC NI</t>
  </si>
  <si>
    <t>BRAKE PAD TIDA 06-08</t>
  </si>
  <si>
    <t>41060-VC2X0 MARC NI</t>
  </si>
  <si>
    <t>BRAKE PAD PATROL02-09</t>
  </si>
  <si>
    <t>BRAKE PAD NAVARA 2008-14, PATHFINDER-2005-14</t>
  </si>
  <si>
    <t>D1060-1LB2A MARC NI</t>
  </si>
  <si>
    <t>BRAKE PAD PATROL 2010</t>
  </si>
  <si>
    <t>D1060-3TA0A MARC NI</t>
  </si>
  <si>
    <t>BRAKE PAD ULTIMA 2013-2019</t>
  </si>
  <si>
    <t>D1060-4CA0A MARC NI</t>
  </si>
  <si>
    <t>BRAKE PAD NISSAN XTRAIL- 2 WHEEL</t>
  </si>
  <si>
    <t>D1060-6N0X3 MARC NI</t>
  </si>
  <si>
    <t>BRAKE PAD NISSAN SUNNY 2002-2011</t>
  </si>
  <si>
    <t>D1060-ZP00C MARC NI</t>
  </si>
  <si>
    <t>D4060-1LBXE MARC NI</t>
  </si>
  <si>
    <t>D4060-9N00B MARC NI</t>
  </si>
  <si>
    <t>BRAKE PAD L32+A35+R52+F15</t>
  </si>
  <si>
    <t>D4060-9N0XB MARC NI</t>
  </si>
  <si>
    <t>BRAKE PAD 2009-10 ULTIMA+ MAXIMA+PATHFINDER</t>
  </si>
  <si>
    <t>MARC TOYOTA</t>
  </si>
  <si>
    <t>04465-02220 MARC TYT</t>
  </si>
  <si>
    <t>BRAKE PAD COROLLA 2008-2014 FR</t>
  </si>
  <si>
    <t>04465-06080 MARC TYT</t>
  </si>
  <si>
    <t>BRAKE PAD CAMRY 2007-2009 FR</t>
  </si>
  <si>
    <t>04465-06090 MARC TYT</t>
  </si>
  <si>
    <t>BRAKE PAD CAMRY2010-2017 FR</t>
  </si>
  <si>
    <t>04465-08030 MARC TYT</t>
  </si>
  <si>
    <t>BRAKE PAD CAMRY AVALON 2003-2011 FR</t>
  </si>
  <si>
    <t>04465-0D160 MARC TYT</t>
  </si>
  <si>
    <t>BRAKE PAD YARIS 2014-2021 FR</t>
  </si>
  <si>
    <t>04465-0K020 MARC TYT</t>
  </si>
  <si>
    <t>BRAKE PAD HILUX 2006-2009 4X4 FR</t>
  </si>
  <si>
    <t>04465-0K110 MARC TYT</t>
  </si>
  <si>
    <t>BRAKE PAD INNOVA 2008-2015 FR</t>
  </si>
  <si>
    <t>04465-0K160 MARC TYT</t>
  </si>
  <si>
    <t>BRAKE PAD HILUX 2006-2008 FR</t>
  </si>
  <si>
    <t>04465-0K290 MARC TYT</t>
  </si>
  <si>
    <t>BRAKE PAD HILUX 2009-2015 FR</t>
  </si>
  <si>
    <t>04465-0K340 MARC TYT</t>
  </si>
  <si>
    <t>BRAKE PAD 4X4 HILUX 2012-2015 FR</t>
  </si>
  <si>
    <t>04465-0K380 MARC TYT</t>
  </si>
  <si>
    <t>BRAKE PAD HILUX 2015,INNOVA 2016 FR</t>
  </si>
  <si>
    <t>04465-0K430 MARC TYT</t>
  </si>
  <si>
    <t>BRAKE PAD INNOVA 2017-2020 FR</t>
  </si>
  <si>
    <t>04465-12581 MARC TYT</t>
  </si>
  <si>
    <t>BRAKE PAD COROLLA  2001-2007 FR</t>
  </si>
  <si>
    <t>04465-12670 MARC TYT</t>
  </si>
  <si>
    <t>BRAKE PAD COROLLA 2019-2022 FR</t>
  </si>
  <si>
    <t>04465-26420 MARC TYT</t>
  </si>
  <si>
    <t>BRAKE PAD HIACE 2005-2012 FR</t>
  </si>
  <si>
    <t>04465-26421 MARC TYT</t>
  </si>
  <si>
    <t>BRAKE PAD HIACE 2005-2019 FR</t>
  </si>
  <si>
    <t>04465-26440 MARC TYT</t>
  </si>
  <si>
    <t>BRAKE PAD HIACE 2020-2022 FR</t>
  </si>
  <si>
    <t>04465-28510 MARC TYT</t>
  </si>
  <si>
    <t>BRAKE PAD LEXUS ES 300 ,PREVIA 2000-2006 FR</t>
  </si>
  <si>
    <t>04465-28520 MARC TYT</t>
  </si>
  <si>
    <t>BRAKE PAD LEXUS ES300,PREVIA 2008-2018 FR</t>
  </si>
  <si>
    <t>04465-33130 MARC TYT</t>
  </si>
  <si>
    <t>BRAKE PAD CAMRY 2000-2002 4-CY, CAMRY 2003-2006 4-CY FR</t>
  </si>
  <si>
    <t>04465-33220 MARC TYT</t>
  </si>
  <si>
    <t>BRAKE PAD CAMRY 1998-2002 4-CY -YZZ51</t>
  </si>
  <si>
    <t>04465-33480 MARC TYT</t>
  </si>
  <si>
    <t>BRAKE PAD CAMRY 4 CLY 2018-2020 FR</t>
  </si>
  <si>
    <t>04465-33490 MARC TYT</t>
  </si>
  <si>
    <t>BRAKE PAD ES250,ES 300H ,AVALON,CAMRY 2018-2024 6-CY FR</t>
  </si>
  <si>
    <t>04465-60280 MARC TYT</t>
  </si>
  <si>
    <t>BRAKE PAD LANDCRUISER 200 2007-2015 FR</t>
  </si>
  <si>
    <t>04465-60320 MARC TYT</t>
  </si>
  <si>
    <t>BRAKE PAD PRADO 2010-2018 FR</t>
  </si>
  <si>
    <t>04465-60370 MARC TYT</t>
  </si>
  <si>
    <t>BRAKE PAD LAND CRUISER 2004-2006</t>
  </si>
  <si>
    <t>04465-YZZ56 MARC TYT</t>
  </si>
  <si>
    <t>BRAKE PAD HILUX 1985-2005</t>
  </si>
  <si>
    <t>04465-YZZ60 MARC TYT</t>
  </si>
  <si>
    <t>BRAKE PAD HILUX 11985-2005,HIACE 1989 2004</t>
  </si>
  <si>
    <t>04465-YZZQ9 MARC TYT</t>
  </si>
  <si>
    <t>BRAKE PAD CAMRY 2010-2017</t>
  </si>
  <si>
    <t>04466-YZZQ1 MARC TYT</t>
  </si>
  <si>
    <t>MARC USA</t>
  </si>
  <si>
    <t>BRAKE PAD IMPALA,TERRAIN 2013-2017 FR</t>
  </si>
  <si>
    <t>BRAKE PAD FORD F-150 2012-2020 RR</t>
  </si>
  <si>
    <t>171-1245 MARC USA</t>
  </si>
  <si>
    <t>BRAKE PAD MARC USA</t>
  </si>
  <si>
    <t>BRAKE PAD EXPLORER 2006-2010 RR</t>
  </si>
  <si>
    <t>BRF1279 MARC USA</t>
  </si>
  <si>
    <t>BRAKE PAD EXPLORER,FLEX 2011-2017 FR</t>
  </si>
  <si>
    <t>MARC REAR BRAKE PAD MG RX5, GS, HS</t>
  </si>
  <si>
    <t xml:space="preserve">REAR BRAKE PAD MG ZS </t>
  </si>
  <si>
    <t>MARC REAR BRAKE PAD MG RX8</t>
  </si>
  <si>
    <t>MARC BRAKE PAD CHANGAN</t>
  </si>
  <si>
    <t>MARC CGN PC201058-0401 / PC201058-0701 MARC CGN</t>
  </si>
  <si>
    <t>MARC CGN S202F260303-0700 / S202F260303-1200 MARC CGN</t>
  </si>
  <si>
    <t>MARC BRAKE PAD CHANGAN S301068-1400-AA MARC CGN</t>
  </si>
  <si>
    <t>MARC CGN S401031-1001 / S401031-1101</t>
  </si>
  <si>
    <t>MARC FR CGN 10248966/10767908/10138340 MG 6 1.5T 2017-2023,</t>
  </si>
  <si>
    <t xml:space="preserve">MARC MG BRAKE PAD 10598868/10196002 MG 5 NEW, MG GT NEW, MG350,MG360 </t>
  </si>
  <si>
    <t>MARC CGN S202F260301-0800 / S202F260301-1400 MARC CGN</t>
  </si>
  <si>
    <t>MARC BRAKE PAD CHANGAN S302F260301-0801 / S302F260301-1401 MARC CGN</t>
  </si>
  <si>
    <t>MARC CGN BRAKE PAD CHANGAN</t>
  </si>
  <si>
    <t>MG-RX8</t>
  </si>
  <si>
    <t>MARC MG 10588655/11070562/10208319/11070561 MG5 FULL MG GT,
MG 6 1.5T 2017-2021</t>
  </si>
  <si>
    <t>MARC BRAKE PAD HAVAL H9 FR</t>
  </si>
  <si>
    <t>MARC BRAKE PAD HAVAL H6 FR</t>
  </si>
  <si>
    <t>MARC BRAKE PAD HAVAL H9 RR</t>
  </si>
  <si>
    <t>MARC BRAKE PAD HAVAL H6 RR</t>
  </si>
  <si>
    <t>CHANGAN  UNI V 2021-2023 FR</t>
  </si>
  <si>
    <t>CHANGAN  UNI V 2021-2023 RR</t>
  </si>
  <si>
    <t>CHANGAN  UNI K 2021- RR</t>
  </si>
  <si>
    <t>58101-1RA00 APTKOREA</t>
  </si>
  <si>
    <t>BRAKE PAD ACCENT 2011-2019</t>
  </si>
  <si>
    <t>58101-2CA11 APTKOREA</t>
  </si>
  <si>
    <t>58302-1RA30 APTKOREA</t>
  </si>
  <si>
    <t>BRAKE PAD ACCENT 2011-2018</t>
  </si>
  <si>
    <t>58302-AAA30 APTKOREA</t>
  </si>
  <si>
    <t>58305-2WA00 APTKOREA</t>
  </si>
  <si>
    <t>BRAKE SHOE SANTAFE 2012-2016</t>
  </si>
  <si>
    <t>58305-3XA00 APTKOREA</t>
  </si>
  <si>
    <t>BRAKE SHOE ELANTRA 2012-2015</t>
  </si>
  <si>
    <t>96534653 APTKOREA</t>
  </si>
  <si>
    <t>BRAKE PAD AVEO FRONT 2004-2014</t>
  </si>
  <si>
    <t>42673048 APTKOREA</t>
  </si>
  <si>
    <t>BRAKE PAD SPARK FRONT 2016-2023</t>
  </si>
  <si>
    <t>13301207 APTKOREA</t>
  </si>
  <si>
    <t>BRAKE PAD CRUZE FRONT 2010-2017</t>
  </si>
  <si>
    <t>95375903 APTKOREA</t>
  </si>
  <si>
    <t>BRAKE SHOE SPARK REAR 2016-2023</t>
  </si>
  <si>
    <t>96473229 APTKOREA</t>
  </si>
  <si>
    <t>BRAKE SHOE AVEO REAR  200-2014</t>
  </si>
  <si>
    <t>58101-2SA30 APTKOREA</t>
  </si>
  <si>
    <t>58101-L1A00 APTKOREA</t>
  </si>
  <si>
    <t>58101-2TA00 APTKOREA</t>
  </si>
  <si>
    <t>58305-4HA00 APTKOREA</t>
  </si>
  <si>
    <t>BRAKE SHOE BRAKE SHOE H1- 2007-2015</t>
  </si>
  <si>
    <t>58302-AAA40 APTKOREA</t>
  </si>
  <si>
    <t>APT KOREA WHEEL HUB</t>
  </si>
  <si>
    <t>"SONATA ,
SANTAFE 2012-2015 FR"</t>
  </si>
  <si>
    <t>"SONATA,
TUCSON 2007-2010 FR"</t>
  </si>
  <si>
    <t>"ELANTRA 2016-2020"</t>
  </si>
  <si>
    <t>55310-2W300 APTKOREA</t>
  </si>
  <si>
    <t>SHOCK ABSORBER REAR SANTAFI 2012-2016</t>
  </si>
  <si>
    <t>55300-4H000 APTKOREA</t>
  </si>
  <si>
    <t>SHOCK ABSORBER REAR H1 2007-2017</t>
  </si>
  <si>
    <t>55300-3X100 APTKOREA</t>
  </si>
  <si>
    <t>SHOCK ABSORBER REAR ELENTRA 2012-2015</t>
  </si>
  <si>
    <t>55300-1R100 APTKOREA</t>
  </si>
  <si>
    <t>SHOCK ABSORBER REAR ACCENT 2012-2016</t>
  </si>
  <si>
    <t>55310-F2500 APTKOREA</t>
  </si>
  <si>
    <t>SHOCK ABSORBER REAR ELENTRA 2016-2019</t>
  </si>
  <si>
    <t>55311-2T230 APTKOREA</t>
  </si>
  <si>
    <t>SHOCK ABSORBER REAR SONATA 2011-2015</t>
  </si>
  <si>
    <t>55310-1E200 APTKOREA</t>
  </si>
  <si>
    <t>SHOCK ABSORBER REAR ACCENT 2006-2011</t>
  </si>
  <si>
    <t>55311-2H000 APTKOREA</t>
  </si>
  <si>
    <t>SHOCK ABSORBER REAR ELENTRA 2006-2011</t>
  </si>
  <si>
    <t>54611-3K030 APTKOREA</t>
  </si>
  <si>
    <t>FRONT SHOCK ABSORBER SONATA 2006-2010</t>
  </si>
  <si>
    <t>55311-C1200 APTKOREA</t>
  </si>
  <si>
    <t>SHOCK ABSORBER REAR SONATA 2016-2019</t>
  </si>
  <si>
    <t>54660-H6200 APTKOREA</t>
  </si>
  <si>
    <t>FRONT RH SHOCK ABSORBER ACCENT 2019-2023</t>
  </si>
  <si>
    <t>54650-H6200 APTKOREA</t>
  </si>
  <si>
    <t>FRONT LH SHOCK ABSORBER ACCENT 2019-2023</t>
  </si>
  <si>
    <t>54661-2H000 APTKOREA</t>
  </si>
  <si>
    <t>FRONT RH SHOCK ABSORBER ELENTRA 2006-2011</t>
  </si>
  <si>
    <t>54651-2H000 APTKOREA</t>
  </si>
  <si>
    <t>FRONT LH SHOCK ABSORBER ELENTRA 2006-2011</t>
  </si>
  <si>
    <t>54661-2W200 APTKOREA</t>
  </si>
  <si>
    <t>FRONT RH SHOCK ABSORBER SANTAFI 2012-2015</t>
  </si>
  <si>
    <t>54651-2W200 APTKOREA</t>
  </si>
  <si>
    <t>FRONT LH SHOCK ABSORBER SANTAFI 2012-2015</t>
  </si>
  <si>
    <t>54661-2T450 APTKOREA</t>
  </si>
  <si>
    <t>FRONT RH SHOCK ABSORBER SONATA 2012-2015</t>
  </si>
  <si>
    <t>54651-2T450 APTKOREA</t>
  </si>
  <si>
    <t>FRONT LH SHOCK ABSORBER SONATA 2012-2015</t>
  </si>
  <si>
    <t>13332639 APTKOREA</t>
  </si>
  <si>
    <t>SHOCK ABSORBER REAR CRUZE 2010-2017</t>
  </si>
  <si>
    <t>42337953 APTKOREA</t>
  </si>
  <si>
    <t>SHOCK ABSORBER REAR SPARK  2016-2023</t>
  </si>
  <si>
    <t>95077490 APTKOREA</t>
  </si>
  <si>
    <t>SHOCK ABSORBER REAR SONIC 2012-2017</t>
  </si>
  <si>
    <t>96535158 APTKOREA</t>
  </si>
  <si>
    <t>SHOCK ABSORBER REAR AVEO 2004-2015</t>
  </si>
  <si>
    <t>96407822 APTKOREA</t>
  </si>
  <si>
    <t>SHOCK ABSORBER REAR RH OPTRA 2004-2015</t>
  </si>
  <si>
    <t>96407821 APTKOREA</t>
  </si>
  <si>
    <t>SHOCK ABSORBER REAR LH OPTRA 2004-2015</t>
  </si>
  <si>
    <t>96534982 APTKOREA</t>
  </si>
  <si>
    <t>FRONT RH SHOCK ABSORBER AVEO 2004-2015</t>
  </si>
  <si>
    <t>96534981 APTKOREA</t>
  </si>
  <si>
    <t>FRONT LH SHOCK ABSORBER AVEO 2004-2015</t>
  </si>
  <si>
    <t>95917155 APTKOREA</t>
  </si>
  <si>
    <t>FRONT RH SHOCK ABSORBER SONIC 2012-2017</t>
  </si>
  <si>
    <t>95917154 APTKOREA</t>
  </si>
  <si>
    <t>FRONT LH SHOCK ABSORBER SONIC 2012-2017</t>
  </si>
  <si>
    <t>42337958 APTKOREA</t>
  </si>
  <si>
    <t>FRONT RH SHOCK ABSORBER SPARK 2016-2023</t>
  </si>
  <si>
    <t>42337957 APTKOREA</t>
  </si>
  <si>
    <t>FRONT LH SHOCK ABSORBER SPARK 2016-2023</t>
  </si>
  <si>
    <t>96394572 APTKOREA</t>
  </si>
  <si>
    <t>FRONT RH SHOCK ABSORBER OPTRA 2004-2010</t>
  </si>
  <si>
    <t>96394571 APTKOREA</t>
  </si>
  <si>
    <t>FRONT LH SHOCK ABSORBER OPTRA 2004-2010</t>
  </si>
  <si>
    <t>13402939 APTKOREA</t>
  </si>
  <si>
    <t>FRONT RH SHOCK ABSORBER CRUZE 2010-2017</t>
  </si>
  <si>
    <t>13402938 APTKOREA</t>
  </si>
  <si>
    <t>FRONT LH SHOCK ABSORBER CRUZE 2010-2017</t>
  </si>
  <si>
    <t>APT KOREA A/C FILTERS</t>
  </si>
  <si>
    <t>B511F260301-0700/120</t>
  </si>
  <si>
    <t>BRAKE PAD FRONT LH &amp; RH CHANGAN ALSVIN 2018</t>
  </si>
  <si>
    <t>S111F260301-0600/100</t>
  </si>
  <si>
    <t>BRAKE PAD FRONT LH &amp; RH CHANGAN CS35/CS35 PLUS</t>
  </si>
  <si>
    <t>BRAKE PADELANTRA 2012-2015 RR</t>
  </si>
  <si>
    <t>APT KOREA SHOCKS ABSORBER</t>
  </si>
  <si>
    <t>BRAKE PAD EXPEDITION 2009-2017 RR</t>
  </si>
  <si>
    <t>BRAKE PAD CROWN VICTORIA 2003-2011 RR</t>
  </si>
  <si>
    <t>YOUKON 2000-2014 FR - 8 BOLT</t>
  </si>
  <si>
    <t>APT USA WHEEL HUB</t>
  </si>
  <si>
    <t>GMC YUKON,TAHOE 2000-2006 - DOUBLE</t>
  </si>
  <si>
    <t>GMC YUKON 2015-2020 - DOUBLE</t>
  </si>
  <si>
    <t>D1060-JD00A MARC NI</t>
  </si>
  <si>
    <t>MARC REAR BRAKE PAD MG ZS 2021-2023</t>
  </si>
  <si>
    <t xml:space="preserve">MARC FRONT BRAKE PAD MG ZS 2017-2023 </t>
  </si>
  <si>
    <t>CHANGAN CS 75 FR</t>
  </si>
  <si>
    <t>CHANGAN CS 75 RR</t>
  </si>
  <si>
    <t>MTR</t>
  </si>
  <si>
    <t>BALANCE QTY</t>
  </si>
  <si>
    <t>BAHRAIN</t>
  </si>
  <si>
    <t>OMAN</t>
  </si>
  <si>
    <t>GOOD</t>
  </si>
  <si>
    <t>VERY LOW</t>
  </si>
  <si>
    <t>LOW</t>
  </si>
  <si>
    <t>AVERAGE</t>
  </si>
  <si>
    <t>EXCELLENT</t>
  </si>
  <si>
    <t>BAD</t>
  </si>
  <si>
    <t>APT KOREA BRAKE PAD</t>
  </si>
  <si>
    <t>APEX JAFZA</t>
  </si>
  <si>
    <t>APEX        MAIN LAND</t>
  </si>
  <si>
    <t>APT KOREA OIL FILTER</t>
  </si>
  <si>
    <t>21810-1G000 APTKOREA</t>
  </si>
  <si>
    <t>ENGINE MOUNT ACCENT 2006-2011</t>
  </si>
  <si>
    <t>13248493 APTKOREA</t>
  </si>
  <si>
    <t>ENGINE MOUNT CRUZE FRT 2010-2017</t>
  </si>
  <si>
    <t>13248475 APTKOREA</t>
  </si>
  <si>
    <t>ENGINE MOUNT CRUZE RH 2010-2017</t>
  </si>
  <si>
    <t>21810-F2000 APTKOREA</t>
  </si>
  <si>
    <t>ENGINE MOUNT ELENTRA 2016-2019</t>
  </si>
  <si>
    <t>21830-F2100 APTKOREA</t>
  </si>
  <si>
    <t>ENGINE MOUNT ELENTRA 2016-2020</t>
  </si>
  <si>
    <t>21950-F2000 APTKOREA</t>
  </si>
  <si>
    <t>ENGINE MOUNT ELENTRA 2016-2021</t>
  </si>
  <si>
    <t>21812-4H200 APTKOREA</t>
  </si>
  <si>
    <t>ENGINE MOUNT H1 2007-2017</t>
  </si>
  <si>
    <t>21830-1W000 APTKOREA</t>
  </si>
  <si>
    <t>ENGINE MOUNT RIO 2012-2015</t>
  </si>
  <si>
    <t>21810-2T000 APTKOREA</t>
  </si>
  <si>
    <t>ENGINE MOUNT SONATA 2012-2015</t>
  </si>
  <si>
    <t>21830-2T150 APTKOREA</t>
  </si>
  <si>
    <t>ENGINE MOUNT SONATA 2012-2016</t>
  </si>
  <si>
    <t>21950-2T000 APTKOREA</t>
  </si>
  <si>
    <t>ENGINE MOUNT SONATA 2012-2017</t>
  </si>
  <si>
    <t>21810-C1020 APTKOREA</t>
  </si>
  <si>
    <t>ENGINE MOUNT SONATA 2016-2018</t>
  </si>
  <si>
    <t>21830-D4000 APTKOREA</t>
  </si>
  <si>
    <t>ENGINE MOUNT SONATA 2016-2019</t>
  </si>
  <si>
    <t>42456790 APTKOREA</t>
  </si>
  <si>
    <t>ENGINE MOUNT SPARK LH 2016-2022</t>
  </si>
  <si>
    <t>42441517 APTKOREA</t>
  </si>
  <si>
    <t>ENGINE MOUNT SPARK RH 2016-2022</t>
  </si>
  <si>
    <t>APTKOREA ENGINE MOUNT</t>
  </si>
  <si>
    <t>APT KOREA HUB BEARING</t>
  </si>
  <si>
    <t>51720-02000 APTKOREA</t>
  </si>
  <si>
    <t>51720-1W000 APTKOREA</t>
  </si>
  <si>
    <t>51720-2H000 APTKOREA</t>
  </si>
  <si>
    <t>51720-38110 APTKOREA</t>
  </si>
  <si>
    <t>51720-3A200 APTKOREA</t>
  </si>
  <si>
    <t>51720-3S100 APTKOREA</t>
  </si>
  <si>
    <t>51720-H8000 APTKOREA</t>
  </si>
  <si>
    <t>HUB BEARING ACCENT 2006-2018</t>
  </si>
  <si>
    <t>HUB BEARING RIO 2012-2015</t>
  </si>
  <si>
    <t>HUB BEARING ELENTRA 2006-2015</t>
  </si>
  <si>
    <t>HUB BEARING SONATA 2006-2011</t>
  </si>
  <si>
    <t>HUB BEARING AZEERA 2006-2010</t>
  </si>
  <si>
    <t>HUB BEARING SONATA 2016-2018</t>
  </si>
  <si>
    <t>HUB BEARING ACCENT 2019-2023</t>
  </si>
  <si>
    <t>54830-0U000 APTKOREA</t>
  </si>
  <si>
    <t>STABILIZER LINK ACCENT 2011-2018</t>
  </si>
  <si>
    <t>54830-1G000 APTKOREA</t>
  </si>
  <si>
    <t>STABILIZER LINK ACCENT 2006-2011</t>
  </si>
  <si>
    <t>54830-2H000 APTKOREA</t>
  </si>
  <si>
    <t>STABILIZER LINK ELENTRA 2006-2011</t>
  </si>
  <si>
    <t>54830-2T000 APTKOREA</t>
  </si>
  <si>
    <t>STABILIZER LINK SONATA 2012-2016</t>
  </si>
  <si>
    <t>54830-3K000 APTKOREA</t>
  </si>
  <si>
    <t>STABILIZER LINK SONATA 2006-2011</t>
  </si>
  <si>
    <t>54830-3Q000 APTKOREA</t>
  </si>
  <si>
    <t>STABILIZER LINK SONATA 2012-2015</t>
  </si>
  <si>
    <t>54830-C1000 APTKOREA</t>
  </si>
  <si>
    <t>STABILIZER LINK SONATA 2016-2018</t>
  </si>
  <si>
    <t>54830-F2000 APTKOREA</t>
  </si>
  <si>
    <t>STABILIZER LINK ELENTRA 2016-2019</t>
  </si>
  <si>
    <t>54840-1G000 APTKOREA</t>
  </si>
  <si>
    <t>STABILIZER LINK ACCENT 2006-2012</t>
  </si>
  <si>
    <t>54840-2T000 APTKOREA</t>
  </si>
  <si>
    <t>STABILIZER LINK SONATA 2012-2017</t>
  </si>
  <si>
    <t>55530-2H000 APTKOREA</t>
  </si>
  <si>
    <t>STABILIZER LINK ELENTRA 2006-2012</t>
  </si>
  <si>
    <t>55530-2G000 APTKOREA</t>
  </si>
  <si>
    <t>55530-3R000 APTKOREA</t>
  </si>
  <si>
    <t>STABILIZER LINK SONATA 2011-2016</t>
  </si>
  <si>
    <t>APTKOREA STRUT MOUNT</t>
  </si>
  <si>
    <t>54610-2H000 APTKOREA</t>
  </si>
  <si>
    <t>STRUT MOUNT ELENTRA 2006-2011</t>
  </si>
  <si>
    <t>54610-2T000 APTKOREA</t>
  </si>
  <si>
    <t>STRUT MOUNT SONATA 2011-2016</t>
  </si>
  <si>
    <t>54610-3X200 APTKOREA</t>
  </si>
  <si>
    <t>STRUT MOUNT ELENTRA 2012-2015</t>
  </si>
  <si>
    <t>54610-F2000 APTKOREA</t>
  </si>
  <si>
    <t>STRUT MOUNT ELENTRA 2016-2019</t>
  </si>
  <si>
    <t>25281-25000 APTKOREA</t>
  </si>
  <si>
    <t>TENSIONER PULLEY SONATA 2006-2012</t>
  </si>
  <si>
    <t>25287-25010 APTKOREA</t>
  </si>
  <si>
    <t>TENSIONER PULLEY SONATA 2006-2011</t>
  </si>
  <si>
    <t>13227719 APTUSA</t>
  </si>
  <si>
    <t>ENGINE MOUNT MALIBU 6CYL RH 2013-2016</t>
  </si>
  <si>
    <t>13228303 APTUSA</t>
  </si>
  <si>
    <t>ENGINE MOUNT MALIBU IMPALA CRUZE REAR</t>
  </si>
  <si>
    <t>13312102 APTUSA</t>
  </si>
  <si>
    <t>ENGINE MOUNT MALIBU 4 CYL 2013-2016</t>
  </si>
  <si>
    <t>15062381 APTUSA</t>
  </si>
  <si>
    <t>ENGINE MOUNT BLAZER ENVOY 2002-2009</t>
  </si>
  <si>
    <t>22744337 APTUSA</t>
  </si>
  <si>
    <t>ENGINE MOUNT MALIBU 4CY RH 2013-2016</t>
  </si>
  <si>
    <t>22812920 APTUSA</t>
  </si>
  <si>
    <t>ENGINE MOUNT MALIBU 6CYL LH 2013-2016</t>
  </si>
  <si>
    <t>22849845 APTUSA</t>
  </si>
  <si>
    <t>ENGINE MOUNT IMPALA RH 2014-2019</t>
  </si>
  <si>
    <t>23277115 APTUSA</t>
  </si>
  <si>
    <t>ENGINE MOUNT YOUKON DOUBLE 2007-2020</t>
  </si>
  <si>
    <t>84034273 APTUSA</t>
  </si>
  <si>
    <t>ENGINE MOUNT MALIBU LH 2019-2022</t>
  </si>
  <si>
    <t>84034311 APTUSA</t>
  </si>
  <si>
    <t>ENGINE MOUNT MALIBU RH 2017-2018</t>
  </si>
  <si>
    <t>84129830 APTUSA</t>
  </si>
  <si>
    <t>ENGINE MOUNT MALIBU LH 2017-2019</t>
  </si>
  <si>
    <t>92271062 APTUSA</t>
  </si>
  <si>
    <t>ENGINE MOUNT CAPRICE 2007-2015</t>
  </si>
  <si>
    <t>13502180 APTUSA</t>
  </si>
  <si>
    <t>STRUT MOUNT SPARK 2011-2022</t>
  </si>
  <si>
    <t>13505131 APTUSA</t>
  </si>
  <si>
    <t>STRUT MOUNT CRUZE 2010-2017</t>
  </si>
  <si>
    <t>23111833 APTUSA</t>
  </si>
  <si>
    <t>STRUT MOUNT ACADIA TRAVERSE 2007-2016</t>
  </si>
  <si>
    <t>84574474 APTUSA</t>
  </si>
  <si>
    <t>STRUT MOUNT MALIBU 2017-2022</t>
  </si>
  <si>
    <t>25869477 APTUSA</t>
  </si>
  <si>
    <t>STRUT MOUNT 901075 / YOUKON TAHOE 2007-2014</t>
  </si>
  <si>
    <t>APTUSA STRUT MOUNT</t>
  </si>
  <si>
    <t>BT120 APTUSA</t>
  </si>
  <si>
    <t>TENSIONER PULLEY EXPLORER 2002-2010</t>
  </si>
  <si>
    <t>TENSIONER PULLEY CROWN VICTORIA 2002-2011</t>
  </si>
  <si>
    <t>APTUSA TENSIONER</t>
  </si>
  <si>
    <t>APTKOREA TENSIONER</t>
  </si>
  <si>
    <t>APTKOREA STABILIZER LINK</t>
  </si>
  <si>
    <t>KANSO CABIN FILTER NISSAN</t>
  </si>
  <si>
    <t>MAXIMA 2000-2007</t>
  </si>
  <si>
    <t>PATHFINDER 2006-2015+NAVARA 2005-2015+X-TERRA 2008-2015</t>
  </si>
  <si>
    <t>PATROL PLATINUM 2010-2017,QX 50,80 -2011-2018 +Q60,Q50</t>
  </si>
  <si>
    <t>SENTRA 12-2017 ,JUKE 2012-2017,TIIDA 12-17</t>
  </si>
  <si>
    <t>SUNNY 2012-2020</t>
  </si>
  <si>
    <t>X-TRAIL 2015-2020, QASHQAI 2014-2017</t>
  </si>
  <si>
    <t>87139-28010 KANSO TYT</t>
  </si>
  <si>
    <t>CAMRY 2003-2009+PRADO 2008-17,INNOVA2007-2010,YARIS 2006-17</t>
  </si>
  <si>
    <t>87139-06050 KANSO TYT</t>
  </si>
  <si>
    <t>CAMRY 2007-11</t>
  </si>
  <si>
    <t>87139-0K070 KANSO TYT</t>
  </si>
  <si>
    <t xml:space="preserve">HILUX R 2020-16 </t>
  </si>
  <si>
    <t>KANSO CABIN FILTER TOYOTA</t>
  </si>
  <si>
    <t>APT USA BRAKE PAD</t>
  </si>
  <si>
    <t>21810-1R010 APTKOREA</t>
  </si>
  <si>
    <t>ENGIN MOUNT ACCENT 2012-2017</t>
  </si>
  <si>
    <t>21950-D4000 APTKOREA</t>
  </si>
  <si>
    <t>ENGIN MOUNT SONATA 2016-2019</t>
  </si>
  <si>
    <t>21810-0Q000 APTKOREA</t>
  </si>
  <si>
    <t>ENGIN MOUNT ELENTRA 2006-2011</t>
  </si>
  <si>
    <t>54610-C1000 APTKOREA</t>
  </si>
  <si>
    <t>STRUT MOUNT SONATA 2016-2019</t>
  </si>
  <si>
    <t>25820085 APTUSA</t>
  </si>
  <si>
    <t>TRANSMISSION MOUNT MALIBU 2009-2012</t>
  </si>
  <si>
    <t>BR1109 APTUSA</t>
  </si>
  <si>
    <t>BRF1279 APTUSA</t>
  </si>
  <si>
    <t>96534653 APTUSA</t>
  </si>
  <si>
    <t>BR932 APTUSA</t>
  </si>
  <si>
    <t>171-0683 APTUSA</t>
  </si>
  <si>
    <t>96405129 APTUSA</t>
  </si>
  <si>
    <t>BR1158 APTUSA</t>
  </si>
  <si>
    <t>171-0979 APTUSA</t>
  </si>
  <si>
    <t>42673048 APTUSA</t>
  </si>
  <si>
    <t>171-0968 APTUSA</t>
  </si>
  <si>
    <t>BRF1899 APTUSA</t>
  </si>
  <si>
    <t>13300867 APTUSA</t>
  </si>
  <si>
    <t>13301207 APTUSA</t>
  </si>
  <si>
    <t>BRF1531 APTUSA</t>
  </si>
  <si>
    <t>22959104 APTUSA</t>
  </si>
  <si>
    <t>BRF1467 APTUSA</t>
  </si>
  <si>
    <t>171-0870 APTUSA</t>
  </si>
  <si>
    <t>17D1352 APTUSA</t>
  </si>
  <si>
    <t>171-1098 APTUSA</t>
  </si>
  <si>
    <t>171-1092 APTUSA</t>
  </si>
  <si>
    <t>85143237 APTUSA</t>
  </si>
  <si>
    <t>17D1351 APTUSA</t>
  </si>
  <si>
    <t>85129514 APTUSA</t>
  </si>
  <si>
    <t>171-626 APTUSA</t>
  </si>
  <si>
    <t>14D1194 APTUSA</t>
  </si>
  <si>
    <t>171-1228 APTUSA</t>
  </si>
  <si>
    <t>171-1243 APTUSA</t>
  </si>
  <si>
    <t>171-656 APTUSA</t>
  </si>
  <si>
    <t>BR931 APTUSA</t>
  </si>
  <si>
    <t>13301207 MARC USA</t>
  </si>
  <si>
    <t>BR1158 MARC USA</t>
  </si>
  <si>
    <t>13300867 MARC USA</t>
  </si>
  <si>
    <t>BR1414 MARC USA</t>
  </si>
  <si>
    <t>96534653 MARC USA</t>
  </si>
  <si>
    <t>BR1109 MARC USA</t>
  </si>
  <si>
    <t>17D1352 MARC USA</t>
  </si>
  <si>
    <t>96405129 MARC USA</t>
  </si>
  <si>
    <t>BRF1531 MARC USA</t>
  </si>
  <si>
    <t>171-1098 MARC USA</t>
  </si>
  <si>
    <t>BRF1899 MARC USA</t>
  </si>
  <si>
    <t>BRF1467 MARC USA</t>
  </si>
  <si>
    <t>171-0979 MARC USA</t>
  </si>
  <si>
    <t>13312895 MARC USA</t>
  </si>
  <si>
    <t>171-0683 MARC USA</t>
  </si>
  <si>
    <t>171-0870 MARC USA</t>
  </si>
  <si>
    <t>17D1351 MARC USA</t>
  </si>
  <si>
    <t>BR931 MARC USA</t>
  </si>
  <si>
    <t>BRF1475 MARC USA</t>
  </si>
  <si>
    <t>22959104 MARC USA</t>
  </si>
  <si>
    <t>171-626 MARC USA</t>
  </si>
  <si>
    <t>171-1092 MARC USA</t>
  </si>
  <si>
    <t>85143237 MARC USA</t>
  </si>
  <si>
    <t>85129514 MARC USA</t>
  </si>
  <si>
    <t>171-1228 MARC USA</t>
  </si>
  <si>
    <t>14D1194 MARC USA</t>
  </si>
  <si>
    <t>42673048 MARC USA</t>
  </si>
  <si>
    <t>171-1243 MARC USA</t>
  </si>
  <si>
    <t>171-656 MARC USA</t>
  </si>
  <si>
    <t>27277-JA00A KNS NI</t>
  </si>
  <si>
    <t>KANSO BRAKE PAD  TOYOTA</t>
  </si>
  <si>
    <t>04465-02220 KNS TYT</t>
  </si>
  <si>
    <t>04465-0K160 KNS TYT</t>
  </si>
  <si>
    <t>04465-26240 KNS TYT</t>
  </si>
  <si>
    <t>04465-YZZ60 KNS TYT</t>
  </si>
  <si>
    <t>BRAKE PAD HIACE 2005-2019,FR</t>
  </si>
  <si>
    <t>BRAKE PAD HILUX 2006-2008,FR</t>
  </si>
  <si>
    <t>BRAKE PAD HILUX , HIACE 1985-2004,FR</t>
  </si>
  <si>
    <t>ALTIMA ,MAXIMA, MURANO 2008-2015</t>
  </si>
  <si>
    <t>BR1602 APTUSA</t>
  </si>
  <si>
    <t>BT68 APTUSA</t>
  </si>
  <si>
    <t>DELIEVRY DATE</t>
  </si>
  <si>
    <t>97133-2H000 APTKOREA</t>
  </si>
  <si>
    <t>97133-3SAA0 APTKOREA</t>
  </si>
  <si>
    <t>97133-2E210 APTKOREA</t>
  </si>
  <si>
    <t>85143237 APTKOREA</t>
  </si>
  <si>
    <t>BR1602 MARC USA</t>
  </si>
  <si>
    <t>27277- EG01A KANSO NI</t>
  </si>
  <si>
    <t>04465-06080 KNS TYT</t>
  </si>
  <si>
    <t>04465-06090 KNS TYT</t>
  </si>
  <si>
    <t>04465-08030 KNS TYT</t>
  </si>
  <si>
    <t>04465-0D160 KNS TYT</t>
  </si>
  <si>
    <t>04465-0K110 KNS TYT</t>
  </si>
  <si>
    <t>04465-0K290 KNS TYT</t>
  </si>
  <si>
    <t>04465-0K340 KNS TYT</t>
  </si>
  <si>
    <t>04465-0K370 KNS TYT</t>
  </si>
  <si>
    <t>FORTUNER 2016-2022</t>
  </si>
  <si>
    <t>04465-0K430 KNS TYT</t>
  </si>
  <si>
    <t>04465-12581 KNS TYT</t>
  </si>
  <si>
    <t>04465-12670 KNS TYT</t>
  </si>
  <si>
    <t>04465-26440 KNS TYT</t>
  </si>
  <si>
    <t>04465-33130 KNS TYT</t>
  </si>
  <si>
    <t>04465-33220 KNS TYT</t>
  </si>
  <si>
    <t>04465-33480 KNS TYT</t>
  </si>
  <si>
    <t>04465-33490 KNS TYT</t>
  </si>
  <si>
    <t>BRAKE PAD ES250,ES 300H ,AVALON,CAMRY 6-CY FR 2018-2024</t>
  </si>
  <si>
    <t>04465-52200 KNS TYT</t>
  </si>
  <si>
    <t>YARIS 2007-2013</t>
  </si>
  <si>
    <t>04465-60280 KNS TYT</t>
  </si>
  <si>
    <t>04465-60320 KNS TYT</t>
  </si>
  <si>
    <t>04465-60340 KNS TYT</t>
  </si>
  <si>
    <t>LAND CRUISER 1998-2007 LC PU 200-2017</t>
  </si>
  <si>
    <t>04465-60380 KNS TYT</t>
  </si>
  <si>
    <t>LAND CRUISER 2022-2024</t>
  </si>
  <si>
    <t>04465-B1420 KNS TYT</t>
  </si>
  <si>
    <t>YARIS 2023-24</t>
  </si>
  <si>
    <t>04465-BZ130 KNS TYT</t>
  </si>
  <si>
    <t>DAIHATSU DABBAB</t>
  </si>
  <si>
    <t>04465-BZ170 KNS TYT</t>
  </si>
  <si>
    <t>AVEZA 2015-2019</t>
  </si>
  <si>
    <t>04465-BZ250 KNS TYT</t>
  </si>
  <si>
    <t>RUSH 2018-2024</t>
  </si>
  <si>
    <t>04465-BZ300 KNS TYT</t>
  </si>
  <si>
    <t>VELOZ 2022-2024</t>
  </si>
  <si>
    <t>04466-06070 KNS TYT</t>
  </si>
  <si>
    <t>CAMRY 2007-2009</t>
  </si>
  <si>
    <t>04466-06080 KNS TYT</t>
  </si>
  <si>
    <t>CAMRY 2010-2017</t>
  </si>
  <si>
    <t>04466-0K010 KNS TYT</t>
  </si>
  <si>
    <t>04466-12150 KNS TYT</t>
  </si>
  <si>
    <t>COROLLA 2008-2018</t>
  </si>
  <si>
    <t>04466-32030 KNS TYT</t>
  </si>
  <si>
    <t>CAMRY 2003-2006</t>
  </si>
  <si>
    <t>04466-32050 KNS TYT</t>
  </si>
  <si>
    <t>CAMRY 1993-2002</t>
  </si>
  <si>
    <t>04466-33220 KNS TYT</t>
  </si>
  <si>
    <t>CAMRY 2018-2023</t>
  </si>
  <si>
    <t>04466-60070 KNS TYT</t>
  </si>
  <si>
    <t>LAND CRUISER 1998-2007</t>
  </si>
  <si>
    <t>04466-60120 KNS TYT</t>
  </si>
  <si>
    <t>LAND CRUISER 2008-2019</t>
  </si>
  <si>
    <t>04495-06050 KNS TYT</t>
  </si>
  <si>
    <t>CAMERY 2009-2014</t>
  </si>
  <si>
    <t>04495-0D060 KNS TYT</t>
  </si>
  <si>
    <t>YARIS 2014-20  REAR</t>
  </si>
  <si>
    <t>04495-0K010 KNS TYT</t>
  </si>
  <si>
    <t>HILUX 2006-2015 REAR +INNOVA 2008-15</t>
  </si>
  <si>
    <t>04495-0K120 KNS TYT</t>
  </si>
  <si>
    <t>FORTUNER 2007-15 + HILUX 4X4 2006-2015</t>
  </si>
  <si>
    <t>04495-0K130 KNS TYT</t>
  </si>
  <si>
    <t>HILUX 2016-2020</t>
  </si>
  <si>
    <t>04495-26240 KNS TYT</t>
  </si>
  <si>
    <t>HIACE 2006-2015</t>
  </si>
  <si>
    <t>04495-26250 KNS TYT</t>
  </si>
  <si>
    <t>HIACE 2020-24</t>
  </si>
  <si>
    <t>04495-35170 KNS TYT</t>
  </si>
  <si>
    <t>HILUX 2002-2005 HIACE 1998-2004</t>
  </si>
  <si>
    <t>04495-52140 KNS TYT</t>
  </si>
  <si>
    <t>YARIS2007-2013</t>
  </si>
  <si>
    <t>04495-60070 KNS TYT</t>
  </si>
  <si>
    <t>LAND CRUISER JEEP 80-2010</t>
  </si>
  <si>
    <t>04495-B1320 KNS TYT</t>
  </si>
  <si>
    <t>YARIS 2022-24</t>
  </si>
  <si>
    <t>04495-BZ011 KNS TYT</t>
  </si>
  <si>
    <t>AVENZA 2015-2020</t>
  </si>
  <si>
    <t>04495-BZ160 KNS TYT</t>
  </si>
  <si>
    <t>D4060-6CA2B KNS NI</t>
  </si>
  <si>
    <t>D4060-6RA0A KNS NI</t>
  </si>
  <si>
    <t>D4060-9N00A KNS NI</t>
  </si>
  <si>
    <t>44060-EA091 KNS NI</t>
  </si>
  <si>
    <t>44060-4U092 KNS NI</t>
  </si>
  <si>
    <t>D1060-1HA1A KNS NI</t>
  </si>
  <si>
    <t>41060-EE30J KNS NI</t>
  </si>
  <si>
    <t>41060-6N091 KNS NI</t>
  </si>
  <si>
    <t>D1060-2Y991 KNS NI</t>
  </si>
  <si>
    <t>D4060-1LB8E KNS NI</t>
  </si>
  <si>
    <t>D1060-5RB0A KNS NI</t>
  </si>
  <si>
    <t>D1060-3TA0A KNS NI</t>
  </si>
  <si>
    <t>41060-57GX0 KNS NI</t>
  </si>
  <si>
    <t>41060-ZP025 KNS NI</t>
  </si>
  <si>
    <t>D1060-4CA0A KNS NI</t>
  </si>
  <si>
    <t>41060-VW085 KNS NI</t>
  </si>
  <si>
    <t>D1060-9FE0A KNS NI</t>
  </si>
  <si>
    <t>D1060-1LB2A KNS NI</t>
  </si>
  <si>
    <t>ALTIMA2019-2023</t>
  </si>
  <si>
    <t>X-TRAIL 2022-2023</t>
  </si>
  <si>
    <t>PATHFINDER 2007-2013</t>
  </si>
  <si>
    <t>MAXIMA 2001-2007</t>
  </si>
  <si>
    <t>SUNNY 2002-2011</t>
  </si>
  <si>
    <t>MAXIMA/ALTIMA/SETRA/TIDA 2010-2011</t>
  </si>
  <si>
    <t>PATROLE 2011 PLT /ARMADA 2016-/INFINITY QX80,QX56-2010-2017</t>
  </si>
  <si>
    <t>SUNNY 2020-2023</t>
  </si>
  <si>
    <t>PATHFINDER 2006-2013/NAVARA 2016 [EB326]</t>
  </si>
  <si>
    <t>URVAN 2002-2017</t>
  </si>
  <si>
    <t>ARMADA 2008-2010</t>
  </si>
  <si>
    <t>KANSO BRAKE PAD NISSAN</t>
  </si>
  <si>
    <t>APT USA ENGINE MOUNT</t>
  </si>
  <si>
    <t>MG 5 2015-2020 REAR</t>
  </si>
  <si>
    <t>BRAKE PAD - HAVAL H2 2019-2022</t>
  </si>
  <si>
    <t>GREAT WAL WINGLE  2020-2023 FR</t>
  </si>
  <si>
    <t>HAVAL JOLION 2021-2024 REAR</t>
  </si>
  <si>
    <t>GREAT WAL H5 RR</t>
  </si>
  <si>
    <t xml:space="preserve">CS 35 /CS35 PLUS </t>
  </si>
  <si>
    <t>LH &amp; RH CHANGAN EADO PLUS</t>
  </si>
  <si>
    <t>LH &amp; RH CHANGAN ALSVIN 2018</t>
  </si>
  <si>
    <t xml:space="preserve">Geely Emgrand EC7  REAR </t>
  </si>
  <si>
    <t>GEELY EC8 2012-2015 FR</t>
  </si>
  <si>
    <t>GEELY TUGELLA 2021-2023</t>
  </si>
  <si>
    <t>CHERY TIGGO 3 T11 2017-2022 FR</t>
  </si>
  <si>
    <t>CHERY TIGO 4 PRO FR</t>
  </si>
  <si>
    <t>CHERY TIGGO 5 T21 FR</t>
  </si>
  <si>
    <t>58305-1GA00 APTKOREA</t>
  </si>
  <si>
    <t>SHOE LINING ACCENT 2006-2011 RR</t>
  </si>
  <si>
    <t>58305-3SA30 APTKOREA</t>
  </si>
  <si>
    <t>SHOE &amp; LINING KIT-RR PARKING BRAKE SONATA 2011-2015</t>
  </si>
  <si>
    <t>58101-J9A05 APTKOREA</t>
  </si>
  <si>
    <t>58101-1MA00 APTKOREA</t>
  </si>
  <si>
    <t>58101-H9A10 APTKOREA</t>
  </si>
  <si>
    <t>58101-C5A00 APTKOREA</t>
  </si>
  <si>
    <t>58101-S8A00 APTKOREA</t>
  </si>
  <si>
    <t>58101-3VA50 APTKOREA</t>
  </si>
  <si>
    <t>58101-A0A00 APTKOREA</t>
  </si>
  <si>
    <t>58101-A9A20 APTKOREA</t>
  </si>
  <si>
    <t>58302-2BA20 APTKOREA</t>
  </si>
  <si>
    <t>58101-S9A00 APTKOREA</t>
  </si>
  <si>
    <t>58101-S1A00 APTKOREA</t>
  </si>
  <si>
    <t>BRAKE PAD SELTOS 2020-2025 FRONT</t>
  </si>
  <si>
    <t>BRAKE PAD CIRATO 2009-2011 FRONT</t>
  </si>
  <si>
    <t>BRAKE PAD RIYO 2017-2020 FRONT</t>
  </si>
  <si>
    <t>BRAKE PAD SORENTO 2016-2020 FRONT</t>
  </si>
  <si>
    <t>BRAKE PAD PALISADE 2020-2024 FRONT</t>
  </si>
  <si>
    <t>BRAKE PAD AZEERA 2011-2015 FRONT</t>
  </si>
  <si>
    <t>BRAKE PAD CRETA 2015-2019 FRONT</t>
  </si>
  <si>
    <t>BRAKE PAD CARNIVAL 2014-2018 FRONT</t>
  </si>
  <si>
    <t>BRAKE PAD SANTAFI 2006-2010 REAR</t>
  </si>
  <si>
    <t>BRAKE PAD TELLURID 2019-2022 FRONT</t>
  </si>
  <si>
    <t>BRAKE PAD SANTAFI 2018-2021 FRONT</t>
  </si>
  <si>
    <t>BRAKE PAD GEELY EMGRAND EC7 2011-2014</t>
  </si>
  <si>
    <t>BRAKE PAD UNIK FRONT</t>
  </si>
  <si>
    <t>BRAKE PAD GEELY TUGELLA 2021-2024 REAR</t>
  </si>
  <si>
    <t>BRAKE PAD HAVAL JOLION 2021-2024 FRONT</t>
  </si>
  <si>
    <t>GEELY EMGRAND EC8 2012-2014 REAR</t>
  </si>
  <si>
    <t>CHANGAN EADO-EADU PLUS PLUS 2019-2023 REAR</t>
  </si>
  <si>
    <t>BRAKE PAD CHANGAN EADU 2016-2018 REAR</t>
  </si>
  <si>
    <t>23623675 APTUSA</t>
  </si>
  <si>
    <t>23623677 APTUSA</t>
  </si>
  <si>
    <t>BRF901 APTUSA</t>
  </si>
  <si>
    <t>FRONT BRAKE PAD CHEVROLET CAPTIVA 2021-2024</t>
  </si>
  <si>
    <t>REAR BRAKE PAD CHEVROLET CAPTIVA 2021-2024</t>
  </si>
  <si>
    <t>BRAKE PAD FORD EDGE 2010-2014 FRONT</t>
  </si>
  <si>
    <t>58101-1YA00 APTKOREA</t>
  </si>
  <si>
    <t>58101-4DE00 APTKOREA</t>
  </si>
  <si>
    <t>58101-4HA60 APTKOREA</t>
  </si>
  <si>
    <t>58101-B1A20 APTKOREA</t>
  </si>
  <si>
    <t>58101-B4A00 APTKOREA</t>
  </si>
  <si>
    <t>58101-C2A10 APTKOREA</t>
  </si>
  <si>
    <t>58101-CGA00 APTKOREA</t>
  </si>
  <si>
    <t>58101-D4A10 APTKOREA</t>
  </si>
  <si>
    <t>58101-N7A20 APTKOREA</t>
  </si>
  <si>
    <t>58101-Q6A10 APTKOREA</t>
  </si>
  <si>
    <t>58101-R0A00 APTKOREA</t>
  </si>
  <si>
    <t>58302-4DE00 APTKOREA</t>
  </si>
  <si>
    <t>58302-C2A10 APTKOREA</t>
  </si>
  <si>
    <t>FRONT DISC BRAKE PICANTO 2011-2017</t>
  </si>
  <si>
    <t>BRAKE PAD CARNIVAL/SEDONA 2007-2014 FRONT</t>
  </si>
  <si>
    <t>BRAKE PAD H-1 2017-2019 FRONT</t>
  </si>
  <si>
    <t>BRAKE PAD ELANTRA  2020-23 FR</t>
  </si>
  <si>
    <t xml:space="preserve">BRAKE PAD GENESIS SEDAN/G80 2015-2018 </t>
  </si>
  <si>
    <t>BRAKE PAD GRAND i10 2013-2019</t>
  </si>
  <si>
    <t>BRAKE PAD SONATA 2014-2017 FRONT</t>
  </si>
  <si>
    <t xml:space="preserve">BRAKE PAD STARIA 2020-2024 FRONT </t>
  </si>
  <si>
    <t>BRAKE PAD FRONT OPTIMA / SONATA 2015-2018</t>
  </si>
  <si>
    <t>BRAKE PAD TUCSON 2021-2024 FRONT</t>
  </si>
  <si>
    <t>BRAKE PAD , CRETA, KIA CELTOS 2019-2024</t>
  </si>
  <si>
    <t>BRAKE PAD KIA  FRONT CARNIVAL 2020-2024</t>
  </si>
  <si>
    <t>BRAKE PAD SONATA 2015-2017 REAR</t>
  </si>
  <si>
    <t>41060-0W785 KNS NI</t>
  </si>
  <si>
    <t>BRAKE PAD NISSAN PATHFINDER 1996-2005</t>
  </si>
  <si>
    <t>23577933 APTKOREA</t>
  </si>
  <si>
    <t>23577934 APTKOREA</t>
  </si>
  <si>
    <t>SHOCK ABSORBER FRONT CAPTIVIA 2018-2022</t>
  </si>
  <si>
    <t>KANSO SHOCK ABSORBER TOYOTA</t>
  </si>
  <si>
    <t>48510-09J40 KNS TYT</t>
  </si>
  <si>
    <t>48510-09N91 KNS TYT</t>
  </si>
  <si>
    <t>48510-09Y90 KNS TYT</t>
  </si>
  <si>
    <t>48510-0D591 KNS TYT</t>
  </si>
  <si>
    <t>48510-52C30 KNS TYT</t>
  </si>
  <si>
    <t>48510-69405 KNS TYT</t>
  </si>
  <si>
    <t>48510-69476 KNS TYT</t>
  </si>
  <si>
    <t>48510-80179 KNS TYT</t>
  </si>
  <si>
    <t>48510-80284 KNS TYT</t>
  </si>
  <si>
    <t>48510-80381 KNS TYT</t>
  </si>
  <si>
    <t>48510-80861 KNS TYT</t>
  </si>
  <si>
    <t>48510-8Z035 KNS TYT</t>
  </si>
  <si>
    <t>48510-8Z172 KNS TYT</t>
  </si>
  <si>
    <t>48510-8Z301 KNS TYT</t>
  </si>
  <si>
    <t>48510-8Z412 KNS TYT</t>
  </si>
  <si>
    <t>48511-39415 KNS TYT</t>
  </si>
  <si>
    <t>48511-69525 KNS TYT</t>
  </si>
  <si>
    <t>48511-69675 KNS TYT</t>
  </si>
  <si>
    <t>48511-80107 KNS TYT</t>
  </si>
  <si>
    <t>48520-09G41 KNS TYT</t>
  </si>
  <si>
    <t>48520-09R70 KNS TYT</t>
  </si>
  <si>
    <t>48520-09V80 KNS TYT</t>
  </si>
  <si>
    <t>48520-52140 KNS TYT</t>
  </si>
  <si>
    <t>48520-80026 KNS TYT</t>
  </si>
  <si>
    <t>48520-80071 KNS TYT</t>
  </si>
  <si>
    <t>48520-80140 KNS TYT</t>
  </si>
  <si>
    <t>48520-80534 KNS TYT</t>
  </si>
  <si>
    <t>48520-8Z158 KNS TYT</t>
  </si>
  <si>
    <t>48520-8Z266 KNS TYT</t>
  </si>
  <si>
    <t>48530-02D11 KNS TYT</t>
  </si>
  <si>
    <t>48530-09L31 KNS TYT</t>
  </si>
  <si>
    <t>48530-09U51 KNS TYT</t>
  </si>
  <si>
    <t>48530-0DC90 KNS TYT</t>
  </si>
  <si>
    <t>48530-69346 KNS TYT</t>
  </si>
  <si>
    <t>48530-69395 KNS TYT</t>
  </si>
  <si>
    <t>48530-80440 KNS TYT</t>
  </si>
  <si>
    <t>48530-80810 KNS TYT</t>
  </si>
  <si>
    <t>48530-8Z118 KNS TYT</t>
  </si>
  <si>
    <t>48531-09730 KNS TYT</t>
  </si>
  <si>
    <t>48531-09740 KNS TYT</t>
  </si>
  <si>
    <t>48531-39616 KNS TYT</t>
  </si>
  <si>
    <t>48531-69645 KNS TYT</t>
  </si>
  <si>
    <t>48531-80725 KNS TYT</t>
  </si>
  <si>
    <t>48540-09480 KNS TYT</t>
  </si>
  <si>
    <t>48540-09691 KNS TYT</t>
  </si>
  <si>
    <t>48540-09A71 KNS TYT</t>
  </si>
  <si>
    <t>48540-09D70 KNS TYT</t>
  </si>
  <si>
    <t>SHOCK FRONT FORTUNER 2008-15 / HILUX 4X4 2008-15 RH [341396]</t>
  </si>
  <si>
    <t>SHOCK FRONT CAMRY 2007-11 RH    [339110]</t>
  </si>
  <si>
    <t>SHOCK FRONT HILUX /INNOVA 2006-2015 RH [341397]</t>
  </si>
  <si>
    <t>SHOCK FRONT YARIS 2014-18 RH/LH [3340087]]</t>
  </si>
  <si>
    <t>SHOCK FRONT YARIS 2006-2013  RH [339064]</t>
  </si>
  <si>
    <t>SHOCK FRONT LAND CRUISER  2008-2015 RH [340062]]</t>
  </si>
  <si>
    <t>SHOCK FRONT PRADO  2010-2020 / FJ 2010-2015 RH [344410]]</t>
  </si>
  <si>
    <t>SHOCK FRONT COROLLA 2001-2007 RH [334324]</t>
  </si>
  <si>
    <t>SHOCK FRONT RAV4 2008-13 RH [339031]</t>
  </si>
  <si>
    <t>SHOCK FRONT COROLLA 2008-13 RH [339114]</t>
  </si>
  <si>
    <t>SHOCK FRONT CAMRY2018-21  RH [3350049]</t>
  </si>
  <si>
    <t>SHOCK FRONT CAMRY 2012-17 RH [339351]</t>
  </si>
  <si>
    <t>SHOCK FRONT COROLLA 2014-2018 RH  [3340041]</t>
  </si>
  <si>
    <t>SHOCK FRONT AVALON2013-17 RH  [3350007]</t>
  </si>
  <si>
    <t>SHOCK FRONT COROLLA 2019-2022 RH  [3350026]</t>
  </si>
  <si>
    <t>SHOCK FRONT HILUX 1984-2005  RH/LH  [443214]]</t>
  </si>
  <si>
    <t>SHOCK FRONT LAND CRUISER SALOON 1998-2007 RH/LH [345022]</t>
  </si>
  <si>
    <t>SHOCK FRONT LAND CRUISER  JEEP P/U 2007-2010 RH/LH [345040]</t>
  </si>
  <si>
    <t>SHOCK FRONT HIACE  2006-2018 RH/LH [444104]]</t>
  </si>
  <si>
    <t>SHOCK FRONT CAMRY 2007-11 LH [339111]</t>
  </si>
  <si>
    <t>SHOCK FRONT HILUX 2006-2015 / INNOVA  2006-2015 LH [341398]]</t>
  </si>
  <si>
    <t>SHOCK FRONT CAMRY  2012-17 LH  [339352]</t>
  </si>
  <si>
    <t>SHOCK FRONT YARIS  2006-2013LH [339065]</t>
  </si>
  <si>
    <t>SHOCK FRONT COROLLA 2001-2007 LH [334324]</t>
  </si>
  <si>
    <t>SHOCK FRONT RAV4  2006-2013 LH [339032]</t>
  </si>
  <si>
    <t>SHOCK FRONT COROLLA 2008-13 LH [339115]</t>
  </si>
  <si>
    <t>SHOCK FRONT CAMRY 2018-2022 LH [3350049]</t>
  </si>
  <si>
    <t>SHOCK FRONT AVALON 2013-17 LH  [3350004]</t>
  </si>
  <si>
    <t>SHOCK FRONT COROLLA 2019-22 LH [3350027]</t>
  </si>
  <si>
    <t>SHOCK REAR COROLLA 2014-2018 RH/LH [341322]]</t>
  </si>
  <si>
    <t>SHOCK REAR CAMRY 2007-11 RH  [339112]</t>
  </si>
  <si>
    <t>SHOCK REAR CAMRY 2012-2017 RH [339359]</t>
  </si>
  <si>
    <t>SHOCK REAR YARIS 2014-17 RH+LH  [348090]]</t>
  </si>
  <si>
    <t>SHOCK REAR PRADO 2005-2009 RH RH+LH [344416]</t>
  </si>
  <si>
    <t>SHOCK REAR LAND CRUISER SALOON 2008-2017 RH+LH [345093]</t>
  </si>
  <si>
    <t>SHOCK REAR COROLLA 2008-2018 RH/LH [341322]]</t>
  </si>
  <si>
    <t>SHOCK REAR CAMRY2018-2021  RH/LH]</t>
  </si>
  <si>
    <t>SHOCK REAR COROLLA 2019-2021 RH/LH [3440083]]</t>
  </si>
  <si>
    <t>SHOCK REAR FORTUNER  2006-2015 RH/LH [349017]]</t>
  </si>
  <si>
    <t>SHOCK REAR HILUX 2006-2015 RH/LH [349023]]</t>
  </si>
  <si>
    <t>SHOCK REAR HILUX  1984-2005 RH/LH [443217]]</t>
  </si>
  <si>
    <t>SHOCK REAR LAND CRUISER PICK UP 1998-2012 RH/LH [344461]</t>
  </si>
  <si>
    <t>SHOCK REAR HIACE 2006-2015 RH/LH [444105]]</t>
  </si>
  <si>
    <t>SHOCK REAR CAMRY 1998-2006  LH [334479]</t>
  </si>
  <si>
    <t>SHOCK REAR CAMRY 2007-11 LH [339113]</t>
  </si>
  <si>
    <t>SHOCK REAR CAMRY 2012-2017 LH [339360]</t>
  </si>
  <si>
    <t>SHOCK REAR AVALON 2013-17 LH / LEXUS ES350 [3350007]</t>
  </si>
  <si>
    <t>43022-SV4-E50 KNS HND</t>
  </si>
  <si>
    <t>43022-T2J-H00 KNS HND</t>
  </si>
  <si>
    <t>43022-TBA-A02 KNS HND</t>
  </si>
  <si>
    <t>43022-TVA-A03 KNS HND</t>
  </si>
  <si>
    <t>45022-S9A-A00 KNS HND</t>
  </si>
  <si>
    <t>45022-SNA-A50 KNS HND</t>
  </si>
  <si>
    <t>45022-T2F-A02 KNS HND</t>
  </si>
  <si>
    <t>45022-T2M-T00 KNS HND</t>
  </si>
  <si>
    <t>45022-TBA-A00 KNS HND</t>
  </si>
  <si>
    <t>KANSO BRAKE PAD HONDA</t>
  </si>
  <si>
    <t>BRAKE PAD FRONT ACCORD 1994-2007 REAR</t>
  </si>
  <si>
    <t>BRAKE PAD FRONT ACCORD 2015-2017 REAR</t>
  </si>
  <si>
    <t>BRAKE PAD FRONT CIVIC 2016-2021 REAR</t>
  </si>
  <si>
    <t>BRAKE PAD FRONT ACCORD 2018-2022 REAR</t>
  </si>
  <si>
    <t>BRAKE PAD REAR ACCORD 2003-2007 FRT</t>
  </si>
  <si>
    <t>BRAKE PAD REAR CIVIC 2006-2012 FRT</t>
  </si>
  <si>
    <t>BRAKE PAD REAR CIVIC 2013-2017 FRT</t>
  </si>
  <si>
    <t>BRAKE PAD REAR ACCORD 2013-2017 FRT</t>
  </si>
  <si>
    <t>BRAKE PAD REAR CIVIC 2017-2021 FRT</t>
  </si>
  <si>
    <t>58305-45A30 APTKOREA</t>
  </si>
  <si>
    <t>58305-45A53 APTKOREA</t>
  </si>
  <si>
    <t>SHOE&amp;LINNING KIT-BRAKE COUNTY 1998-2010</t>
  </si>
  <si>
    <t>SHOE&amp;LINNING KIT-BRAKE HD45/46/65/78/ 2010-2023</t>
  </si>
  <si>
    <t>41060-09W25 KNS NI</t>
  </si>
  <si>
    <t>41060-EB326 KNS NI</t>
  </si>
  <si>
    <t>41060-VB2X0 KNS NI</t>
  </si>
  <si>
    <t>41060-VC2X0 KNS NI</t>
  </si>
  <si>
    <t>D1060-3JA0A KNS NI</t>
  </si>
  <si>
    <t>BRAKE PAD FRONT DATSUN 1986-1996</t>
  </si>
  <si>
    <t>BRAKE PAD FRONT NAVARA 2008-2015</t>
  </si>
  <si>
    <t>BRAKE PAD FRONT PATROL 1998-2001</t>
  </si>
  <si>
    <t>BRAKE PAD REAR PATHFINDER 2014-2019</t>
  </si>
  <si>
    <t>44060-VC290 KNS NI</t>
  </si>
  <si>
    <t>BRAKE PAD REAR PATROL 2004</t>
  </si>
  <si>
    <t>FW-346 APTUSA</t>
  </si>
  <si>
    <t>GMC YUKON 2007-2014 -  DOUBLE</t>
  </si>
  <si>
    <t>26310-4A001 APTKOREA</t>
  </si>
  <si>
    <t>H1 DIESEL 26330-4A001, 26300-42040, 26330-4X000</t>
  </si>
  <si>
    <t>26320-2F100 APTKOREA</t>
  </si>
  <si>
    <t>TUCSON+SANTEFI+SPORTEGE-DIESEL</t>
  </si>
  <si>
    <t>97133-A0100 APTKOREA</t>
  </si>
  <si>
    <t>A/C FILTER CRETA 2016-2020</t>
  </si>
  <si>
    <t>97133-07010 APTKOREA</t>
  </si>
  <si>
    <t>A/C FILTER PICANTO+I10 2012-2017</t>
  </si>
  <si>
    <t>97133-I7000 APTKOREA</t>
  </si>
  <si>
    <t>A/C FILTER CRETA 2020-2025</t>
  </si>
  <si>
    <t>MARC BRAKE PAD -CHANGAN</t>
  </si>
  <si>
    <t>MARC BRAKE PAD - CHERRY</t>
  </si>
  <si>
    <t>MARC BRAKE PAD - GEELY</t>
  </si>
  <si>
    <t>MARC BRAKE PAD -GWM/HAVAL</t>
  </si>
  <si>
    <t>MARC BRAKE PAD - MG MOTORS</t>
  </si>
  <si>
    <t>13300867 APTKOREA</t>
  </si>
  <si>
    <t>58101-2HA10 APTKOREA</t>
  </si>
  <si>
    <t>58302-C5A00 APTKOREA</t>
  </si>
  <si>
    <t>58302-CGA00 APTKOREA</t>
  </si>
  <si>
    <t>58302-J9A00 APTKOREA</t>
  </si>
  <si>
    <t>58302-Q6A00 APTKOREA</t>
  </si>
  <si>
    <t>58302-R0A00 APTKOREA</t>
  </si>
  <si>
    <t>BRAKE PAD FRONT ELANTRA 2006-2010</t>
  </si>
  <si>
    <t>BRAKE PAD REAR STARIA 2020-2024</t>
  </si>
  <si>
    <t>BRAKE PAD REAR CELTOS 2020-2025</t>
  </si>
  <si>
    <t>BRAKE PAD CRETA, KIA CELTOS 2019-2024</t>
  </si>
  <si>
    <t>BRAKE PAD KIA REAR CARNIVAL 2020-2024</t>
  </si>
  <si>
    <t>BRAKE PAD FRONT COOLRAY 2020-2024</t>
  </si>
  <si>
    <t>BRAKE PAD REAR COOLRAY 2020-2024</t>
  </si>
  <si>
    <t>BRAKE PAD FRONT POER 2020-2024</t>
  </si>
  <si>
    <t>BRAKE PAD REAR POER 2020-2024</t>
  </si>
  <si>
    <t xml:space="preserve">BRAKE PAD REAR ARRIZO -7 2022 - </t>
  </si>
  <si>
    <t>BRAKE PAD REAR TIGGO-3</t>
  </si>
  <si>
    <t>BRAKE PAD REAR TIGGO-4</t>
  </si>
  <si>
    <t>BRAKE PAD REAR TIGGO-5</t>
  </si>
  <si>
    <t>04465-26420 KNS TYT</t>
  </si>
  <si>
    <t>BRAKE PAD FRONT HIACE 2013-2019</t>
  </si>
  <si>
    <t>43022-TA0-A00 KNS HND</t>
  </si>
  <si>
    <t>BRAKE PAD REAR ACCORD 2008-2011</t>
  </si>
  <si>
    <t>43153-SNA-A02 KNS HND</t>
  </si>
  <si>
    <t>BRAKE SHOE REAR CIVIC 2006-2020</t>
  </si>
  <si>
    <t>44060-0W726 KNS NI</t>
  </si>
  <si>
    <t>BRAKE PAD REAR PATHFINDER 1998-2005</t>
  </si>
  <si>
    <t>44060-1HB3E KNS NI</t>
  </si>
  <si>
    <t>BRAKE SHOE REAR SUNNY 2012-2018</t>
  </si>
  <si>
    <t>44060-ED025 KNS NI</t>
  </si>
  <si>
    <t>BRAKE SHOE REAR TIIDA 2006-2011</t>
  </si>
  <si>
    <t>D4060-5RB0A KNS NI</t>
  </si>
  <si>
    <t>BRAKE PAD REAR SUNNY 2020-2023</t>
  </si>
  <si>
    <t>58302-G8A50 APTKOREA</t>
  </si>
  <si>
    <t>BRAKE PAD REAR CADENZA 2017-2020</t>
  </si>
  <si>
    <t>58302-S1A00 APTKOREA</t>
  </si>
  <si>
    <t>BRAKE PAD SANTAFI 2018-2021 REAR</t>
  </si>
  <si>
    <t>58302-S1A30 APTKOREA</t>
  </si>
  <si>
    <t>58302-S9A30 APTKOREA</t>
  </si>
  <si>
    <t>BRAKE PAD PALLISADE 2020-2025 REAR</t>
  </si>
  <si>
    <t>S401031-1001 MARC CN</t>
  </si>
  <si>
    <t>S311F260303-1800 MARC CN</t>
  </si>
  <si>
    <t>S302F260301-0801 MARC CN</t>
  </si>
  <si>
    <t>S111F260301-0600 MARC CN</t>
  </si>
  <si>
    <t>CD569F260301-1700 MARC CN</t>
  </si>
  <si>
    <t>CD569F260301-1200 MARC CN</t>
  </si>
  <si>
    <t>C281F260301-2600 MARC CN</t>
  </si>
  <si>
    <t>4048055500 MARC CN</t>
  </si>
  <si>
    <t>27277-1HDKE KNS NI</t>
  </si>
  <si>
    <t>27277-1KA0A KNS NI</t>
  </si>
  <si>
    <t>27277-4BA0A KNS NI</t>
  </si>
  <si>
    <t>27274-EA000 KNS NI</t>
  </si>
  <si>
    <t>27274-4Y125 KNS NI</t>
  </si>
  <si>
    <t>10343249 MARC CN</t>
  </si>
  <si>
    <t>10332331 MARC CN</t>
  </si>
  <si>
    <t>10489774 MARC CN</t>
  </si>
  <si>
    <t>10598868 MARC CN</t>
  </si>
  <si>
    <t>B511F260301-0700 MARC CN</t>
  </si>
  <si>
    <t>C211F260301-0600 MARC CN</t>
  </si>
  <si>
    <t>C211F260303-0901 MARC CN</t>
  </si>
  <si>
    <t>C281F260303-2500 MARC CN</t>
  </si>
  <si>
    <t>PC201058-0401 MARC CN</t>
  </si>
  <si>
    <t>S101062-0300-01 MARC CN</t>
  </si>
  <si>
    <t>S101063-0400/0401 MARC CN</t>
  </si>
  <si>
    <t>S202F260301-0800 MARC CN</t>
  </si>
  <si>
    <t>S202F260303-0700 MARC CN</t>
  </si>
  <si>
    <t>S301068-1400-AA MARC CN</t>
  </si>
  <si>
    <t>S311F260301-1700 MARC CN</t>
  </si>
  <si>
    <t>S311F260303-1801 MARC CN</t>
  </si>
  <si>
    <t>S401032-1300 MARC CN</t>
  </si>
  <si>
    <t>CD569F260303-1600 MARC CN</t>
  </si>
  <si>
    <t>10248966 MARC CN</t>
  </si>
  <si>
    <t>10347032 MARC CN</t>
  </si>
  <si>
    <t>10449128 MARC CN</t>
  </si>
  <si>
    <t>10588655 MARC CN</t>
  </si>
  <si>
    <t>T21-3501080 MARC CN</t>
  </si>
  <si>
    <t>4048046400 MARC CN</t>
  </si>
  <si>
    <t>4050076500 MARC CN</t>
  </si>
  <si>
    <t>4050050000 MARC CN</t>
  </si>
  <si>
    <t>1014014205 MARC CN</t>
  </si>
  <si>
    <t>1064001724 MARC CN</t>
  </si>
  <si>
    <t>1064001725 MARC CN</t>
  </si>
  <si>
    <t>1014014204 MARC CN</t>
  </si>
  <si>
    <t>MAXIMA / ALTIMA/PATHFINDER/MURANO/QX60</t>
  </si>
  <si>
    <t>58305-5KA20 APTKOREA</t>
  </si>
  <si>
    <t>BRAKE SHOE MIGHTY/COUNTY</t>
  </si>
  <si>
    <t>58305-45A62 APTKOREA</t>
  </si>
  <si>
    <t>BRAKE SHOE COUNTY 2020</t>
  </si>
  <si>
    <t>D4060-1UY6A KNS NI</t>
  </si>
  <si>
    <t>BRAKE SHOE SENTRA 2013-2018/JUKE /TIIDA 2015</t>
  </si>
  <si>
    <t>D4060-1LA6A KNS NI</t>
  </si>
  <si>
    <t>BRAKE SHOE PATROL 2010-2021</t>
  </si>
  <si>
    <t>D4060-VC201 KNS NI</t>
  </si>
  <si>
    <t>BRAKE SHOE PATROL2000-2009/ PATROL SAFARI 2010-2018</t>
  </si>
  <si>
    <t>44060-ZE00A KNS NI</t>
  </si>
  <si>
    <t>BRAKE SHOE ARMADA 2005-2015</t>
  </si>
  <si>
    <t>44060-08G25 KNS NI</t>
  </si>
  <si>
    <t>BRAKE SHOE DATSUN 1990-2018</t>
  </si>
  <si>
    <t>J423501080 MARC CN</t>
  </si>
  <si>
    <t>J42-3502090 MARC CN</t>
  </si>
  <si>
    <t>T113501080BA MARC CN</t>
  </si>
  <si>
    <t>T113502080BA MARC CN</t>
  </si>
  <si>
    <t>T19-6GN3501080 MARC CN</t>
  </si>
  <si>
    <t>T19-6GN3502080EP MARC CN</t>
  </si>
  <si>
    <t>3501110XKV08B MARC CN</t>
  </si>
  <si>
    <t>3501110XKZ1DA MARC CN</t>
  </si>
  <si>
    <t>3501110XSZ08A MARC CN</t>
  </si>
  <si>
    <t>3501119XPW01A MARC CN</t>
  </si>
  <si>
    <t>3501123XGW02A MARC CN</t>
  </si>
  <si>
    <t>3501150-K00 MARC CN</t>
  </si>
  <si>
    <t>3502110XKV08A MARC CN</t>
  </si>
  <si>
    <t>3502110XKZ1DA MARC CN</t>
  </si>
  <si>
    <t>3502126XGW02A MARC CN</t>
  </si>
  <si>
    <t>3502140XPW01A MARC CN</t>
  </si>
  <si>
    <t>3502150-K00 MARC CN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</si>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</sst>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Aptos Narrow"/>
      <family val="2"/>
    </font>
    <font>
      <sz val="18"/>
      <color theme="1"/>
      <name val="Aptos Narrow"/>
      <family val="2"/>
    </font>
    <font>
      <sz val="18"/>
      <color theme="1"/>
      <name val="Calibri"/>
      <family val="2"/>
      <scheme val="minor"/>
    </font>
    <font>
      <sz val="19"/>
      <color theme="1"/>
      <name val="Aptos Narrow"/>
      <family val="2"/>
    </font>
    <font>
      <sz val="19"/>
      <name val="Aptos Narrow"/>
      <family val="2"/>
    </font>
    <font>
      <b/>
      <sz val="19"/>
      <color rgb="FFFF0000"/>
      <name val="Aptos Narrow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/>
    </xf>
    <xf numFmtId="0" fontId="5" fillId="3" borderId="2" xfId="0" applyFont="1" applyFill="1" applyBorder="1" applyAlignment="1">
      <alignment horizontal="left" vertical="center"/>
    </xf>
    <xf numFmtId="0" fontId="5" fillId="0" borderId="2" xfId="0" applyFont="1" applyBorder="1"/>
    <xf numFmtId="0" fontId="5" fillId="3" borderId="2" xfId="0" applyFont="1" applyFill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5" fillId="4" borderId="1" xfId="1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0" fontId="5" fillId="5" borderId="1" xfId="1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10" fontId="5" fillId="9" borderId="1" xfId="1" applyNumberFormat="1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10" fontId="5" fillId="7" borderId="1" xfId="1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0" fontId="5" fillId="4" borderId="2" xfId="1" applyNumberFormat="1" applyFont="1" applyFill="1" applyBorder="1" applyAlignment="1">
      <alignment horizontal="center" vertical="center"/>
    </xf>
    <xf numFmtId="10" fontId="5" fillId="5" borderId="2" xfId="1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0" fontId="5" fillId="9" borderId="2" xfId="1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0" fontId="5" fillId="6" borderId="1" xfId="1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0" fontId="5" fillId="7" borderId="9" xfId="1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0" fontId="6" fillId="8" borderId="2" xfId="1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0" fontId="6" fillId="5" borderId="2" xfId="1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10" fontId="6" fillId="9" borderId="2" xfId="1" applyNumberFormat="1" applyFont="1" applyFill="1" applyBorder="1" applyAlignment="1">
      <alignment horizontal="center" vertical="center"/>
    </xf>
    <xf numFmtId="10" fontId="5" fillId="8" borderId="2" xfId="1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10" fontId="6" fillId="4" borderId="2" xfId="1" applyNumberFormat="1" applyFont="1" applyFill="1" applyBorder="1" applyAlignment="1">
      <alignment horizontal="center" vertical="center"/>
    </xf>
    <xf numFmtId="10" fontId="5" fillId="7" borderId="2" xfId="1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10" fontId="5" fillId="8" borderId="1" xfId="1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10" fontId="5" fillId="8" borderId="2" xfId="1" applyNumberFormat="1" applyFont="1" applyFill="1" applyBorder="1" applyAlignment="1">
      <alignment horizontal="center" vertical="center" wrapText="1"/>
    </xf>
    <xf numFmtId="10" fontId="5" fillId="4" borderId="9" xfId="1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10" fontId="6" fillId="7" borderId="2" xfId="1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10" fontId="5" fillId="4" borderId="2" xfId="1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10" fontId="5" fillId="5" borderId="9" xfId="1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0" fontId="6" fillId="4" borderId="1" xfId="1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0" fontId="5" fillId="5" borderId="2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10" fontId="6" fillId="5" borderId="1" xfId="1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10" fontId="5" fillId="9" borderId="9" xfId="1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0" fontId="5" fillId="9" borderId="1" xfId="1" applyNumberFormat="1" applyFont="1" applyFill="1" applyBorder="1" applyAlignment="1">
      <alignment horizontal="center" vertical="center" wrapText="1"/>
    </xf>
    <xf numFmtId="10" fontId="5" fillId="6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 wrapText="1"/>
    </xf>
    <xf numFmtId="10" fontId="5" fillId="9" borderId="2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A755-65AD-467C-8E42-A2B56DA7FF25}">
  <dimension ref="A1:P645"/>
  <sheetViews>
    <sheetView showGridLines="0" tabSelected="1" topLeftCell="A607" zoomScale="50" zoomScaleNormal="50" workbookViewId="0">
      <selection activeCell="D632" sqref="D632"/>
    </sheetView>
  </sheetViews>
  <sheetFormatPr defaultColWidth="15.6640625" defaultRowHeight="14.4" x14ac:dyDescent="0.3"/>
  <cols>
    <col min="2" max="2" width="12.44140625" style="1" customWidth="1"/>
    <col min="3" max="3" width="43.6640625" style="2" customWidth="1"/>
    <col min="4" max="4" width="71.77734375" customWidth="1"/>
    <col min="5" max="9" width="17.6640625" style="1" customWidth="1"/>
    <col min="10" max="10" width="15.88671875" style="1" customWidth="1"/>
    <col min="11" max="13" width="17.6640625" customWidth="1"/>
    <col min="14" max="14" width="20.5546875" customWidth="1"/>
    <col min="15" max="15" width="24.77734375" customWidth="1"/>
    <col min="16" max="16" width="0.21875" customWidth="1"/>
    <col min="17" max="17" width="28.5546875" customWidth="1"/>
  </cols>
  <sheetData>
    <row r="1" spans="1:16" ht="42.75" customHeight="1" x14ac:dyDescent="0.3">
      <c r="A1" s="51" t="s">
        <v>1187</v>
      </c>
      <c r="B1" s="51" t="s">
        <v>0</v>
      </c>
      <c r="C1" s="4" t="s">
        <v>1</v>
      </c>
      <c r="D1" s="4" t="s">
        <v>2</v>
      </c>
      <c r="E1" s="4" t="s">
        <v>3</v>
      </c>
      <c r="F1" s="4" t="s">
        <v>491</v>
      </c>
      <c r="G1" s="4" t="s">
        <v>493</v>
      </c>
      <c r="H1" s="4" t="s">
        <v>494</v>
      </c>
      <c r="I1" s="4" t="s">
        <v>503</v>
      </c>
      <c r="J1" s="4" t="s">
        <v>502</v>
      </c>
      <c r="K1" s="6" t="s">
        <v>492</v>
      </c>
      <c r="L1" s="6" t="s">
        <v>5</v>
      </c>
      <c r="M1" s="6" t="s">
        <v>4</v>
      </c>
      <c r="N1" s="6" t="s">
        <v>6</v>
      </c>
      <c r="O1" s="6" t="s">
        <v>725</v>
      </c>
      <c r="P1" s="6"/>
    </row>
    <row r="2" spans="1:16" ht="29.55" customHeight="1" x14ac:dyDescent="0.3">
      <c r="A2" t="s">
        <v>501</v>
      </c>
      <c r="B2" s="47">
        <v>1</v>
      </c>
      <c r="C2" s="7" t="s">
        <v>1071</v>
      </c>
      <c r="D2" s="8" t="s">
        <v>148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9">
        <v>0</v>
      </c>
      <c r="L2" s="19">
        <v>0</v>
      </c>
      <c r="M2" s="19">
        <v>0</v>
      </c>
      <c r="N2" s="37">
        <v>0</v>
      </c>
      <c r="O2" s="78" t="s">
        <v>500</v>
      </c>
      <c r="P2" s="77"/>
    </row>
    <row r="3" spans="1:16" ht="30" customHeight="1" x14ac:dyDescent="0.45">
      <c r="A3" t="s">
        <v>501</v>
      </c>
      <c r="B3" s="47">
        <v>2</v>
      </c>
      <c r="C3" s="7" t="s">
        <v>1156</v>
      </c>
      <c r="D3" s="8" t="s">
        <v>1157</v>
      </c>
      <c r="E3" s="18">
        <v>48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9">
        <v>48</v>
      </c>
      <c r="L3" s="19">
        <v>0</v>
      </c>
      <c r="M3" s="19">
        <f t="shared" ref="M3:M46" si="0">K3-L3</f>
        <v>48</v>
      </c>
      <c r="N3" s="37">
        <v>0</v>
      </c>
      <c r="O3" s="79" t="s">
        <v>500</v>
      </c>
      <c r="P3" s="3"/>
    </row>
    <row r="4" spans="1:16" ht="30" customHeight="1" x14ac:dyDescent="0.45">
      <c r="A4" t="s">
        <v>501</v>
      </c>
      <c r="B4" s="47">
        <v>3</v>
      </c>
      <c r="C4" s="7" t="s">
        <v>1158</v>
      </c>
      <c r="D4" s="8" t="s">
        <v>1159</v>
      </c>
      <c r="E4" s="18">
        <v>50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9">
        <v>50</v>
      </c>
      <c r="L4" s="19">
        <v>0</v>
      </c>
      <c r="M4" s="19">
        <f t="shared" si="0"/>
        <v>50</v>
      </c>
      <c r="N4" s="37">
        <v>0</v>
      </c>
      <c r="O4" s="79" t="s">
        <v>500</v>
      </c>
      <c r="P4" s="3"/>
    </row>
    <row r="5" spans="1:16" ht="30" customHeight="1" x14ac:dyDescent="0.45">
      <c r="A5" t="s">
        <v>501</v>
      </c>
      <c r="B5" s="47">
        <v>4</v>
      </c>
      <c r="C5" s="7" t="s">
        <v>1109</v>
      </c>
      <c r="D5" s="8" t="s">
        <v>1108</v>
      </c>
      <c r="E5" s="18">
        <v>30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9">
        <f t="shared" ref="K5:K15" si="1">E5-F5-G5-H5-I5-J5</f>
        <v>30</v>
      </c>
      <c r="L5" s="19">
        <v>3</v>
      </c>
      <c r="M5" s="19">
        <f t="shared" si="0"/>
        <v>27</v>
      </c>
      <c r="N5" s="59">
        <f t="shared" ref="N5:N36" si="2">L5/K5</f>
        <v>0.1</v>
      </c>
      <c r="O5" s="54" t="s">
        <v>496</v>
      </c>
      <c r="P5" s="3"/>
    </row>
    <row r="6" spans="1:16" ht="30" customHeight="1" x14ac:dyDescent="0.45">
      <c r="A6" t="s">
        <v>501</v>
      </c>
      <c r="B6" s="47">
        <v>5</v>
      </c>
      <c r="C6" s="7" t="s">
        <v>1105</v>
      </c>
      <c r="D6" s="8" t="s">
        <v>1106</v>
      </c>
      <c r="E6" s="18">
        <f>30+10</f>
        <v>40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9">
        <f t="shared" si="1"/>
        <v>40</v>
      </c>
      <c r="L6" s="19">
        <v>5</v>
      </c>
      <c r="M6" s="19">
        <f t="shared" si="0"/>
        <v>35</v>
      </c>
      <c r="N6" s="59">
        <f t="shared" si="2"/>
        <v>0.125</v>
      </c>
      <c r="O6" s="54" t="s">
        <v>496</v>
      </c>
      <c r="P6" s="3"/>
    </row>
    <row r="7" spans="1:16" ht="30" customHeight="1" x14ac:dyDescent="0.45">
      <c r="A7" t="s">
        <v>501</v>
      </c>
      <c r="B7" s="47">
        <v>6</v>
      </c>
      <c r="C7" s="7" t="s">
        <v>1110</v>
      </c>
      <c r="D7" s="8" t="s">
        <v>1111</v>
      </c>
      <c r="E7" s="18">
        <v>30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9">
        <f t="shared" si="1"/>
        <v>30</v>
      </c>
      <c r="L7" s="19">
        <v>4</v>
      </c>
      <c r="M7" s="19">
        <f t="shared" si="0"/>
        <v>26</v>
      </c>
      <c r="N7" s="59">
        <f t="shared" si="2"/>
        <v>0.13333333333333333</v>
      </c>
      <c r="O7" s="54" t="s">
        <v>496</v>
      </c>
      <c r="P7" s="3"/>
    </row>
    <row r="8" spans="1:16" ht="30" customHeight="1" x14ac:dyDescent="0.45">
      <c r="A8" t="s">
        <v>501</v>
      </c>
      <c r="B8" s="47">
        <v>7</v>
      </c>
      <c r="C8" s="7" t="s">
        <v>1073</v>
      </c>
      <c r="D8" s="8" t="s">
        <v>1079</v>
      </c>
      <c r="E8" s="18">
        <v>30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9">
        <f t="shared" si="1"/>
        <v>30</v>
      </c>
      <c r="L8" s="19">
        <v>5</v>
      </c>
      <c r="M8" s="19">
        <f t="shared" si="0"/>
        <v>25</v>
      </c>
      <c r="N8" s="59">
        <f t="shared" si="2"/>
        <v>0.16666666666666666</v>
      </c>
      <c r="O8" s="54" t="s">
        <v>496</v>
      </c>
      <c r="P8" s="3"/>
    </row>
    <row r="9" spans="1:16" ht="30" customHeight="1" x14ac:dyDescent="0.45">
      <c r="A9" t="s">
        <v>501</v>
      </c>
      <c r="B9" s="47">
        <v>8</v>
      </c>
      <c r="C9" s="7" t="s">
        <v>1107</v>
      </c>
      <c r="D9" s="8" t="s">
        <v>1108</v>
      </c>
      <c r="E9" s="18">
        <v>30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9">
        <f t="shared" si="1"/>
        <v>30</v>
      </c>
      <c r="L9" s="19">
        <v>5</v>
      </c>
      <c r="M9" s="19">
        <f t="shared" si="0"/>
        <v>25</v>
      </c>
      <c r="N9" s="59">
        <f t="shared" si="2"/>
        <v>0.16666666666666666</v>
      </c>
      <c r="O9" s="54" t="s">
        <v>496</v>
      </c>
      <c r="P9" s="3"/>
    </row>
    <row r="10" spans="1:16" ht="30" customHeight="1" x14ac:dyDescent="0.45">
      <c r="A10" t="s">
        <v>501</v>
      </c>
      <c r="B10" s="47">
        <v>9</v>
      </c>
      <c r="C10" s="7" t="s">
        <v>393</v>
      </c>
      <c r="D10" s="8" t="s">
        <v>394</v>
      </c>
      <c r="E10" s="18">
        <v>90</v>
      </c>
      <c r="F10" s="18">
        <v>45</v>
      </c>
      <c r="G10" s="18">
        <v>0</v>
      </c>
      <c r="H10" s="18">
        <v>0</v>
      </c>
      <c r="I10" s="18">
        <v>0</v>
      </c>
      <c r="J10" s="18">
        <v>0</v>
      </c>
      <c r="K10" s="19">
        <f t="shared" si="1"/>
        <v>45</v>
      </c>
      <c r="L10" s="19">
        <v>8</v>
      </c>
      <c r="M10" s="19">
        <f t="shared" si="0"/>
        <v>37</v>
      </c>
      <c r="N10" s="59">
        <f t="shared" si="2"/>
        <v>0.17777777777777778</v>
      </c>
      <c r="O10" s="54" t="s">
        <v>496</v>
      </c>
      <c r="P10" s="3"/>
    </row>
    <row r="11" spans="1:16" ht="30" customHeight="1" x14ac:dyDescent="0.45">
      <c r="A11" t="s">
        <v>501</v>
      </c>
      <c r="B11" s="47">
        <v>10</v>
      </c>
      <c r="C11" s="7" t="s">
        <v>84</v>
      </c>
      <c r="D11" s="8" t="s">
        <v>85</v>
      </c>
      <c r="E11" s="18">
        <v>200</v>
      </c>
      <c r="F11" s="18">
        <v>40</v>
      </c>
      <c r="G11" s="18">
        <f>10+5</f>
        <v>15</v>
      </c>
      <c r="H11" s="18">
        <v>20</v>
      </c>
      <c r="I11" s="18">
        <v>3</v>
      </c>
      <c r="J11" s="18">
        <v>0</v>
      </c>
      <c r="K11" s="19">
        <f t="shared" si="1"/>
        <v>122</v>
      </c>
      <c r="L11" s="19">
        <v>24</v>
      </c>
      <c r="M11" s="19">
        <f t="shared" si="0"/>
        <v>98</v>
      </c>
      <c r="N11" s="59">
        <f t="shared" si="2"/>
        <v>0.19672131147540983</v>
      </c>
      <c r="O11" s="60" t="s">
        <v>496</v>
      </c>
      <c r="P11" s="3"/>
    </row>
    <row r="12" spans="1:16" ht="30" customHeight="1" x14ac:dyDescent="0.45">
      <c r="A12" t="s">
        <v>501</v>
      </c>
      <c r="B12" s="47">
        <v>11</v>
      </c>
      <c r="C12" s="7" t="s">
        <v>1072</v>
      </c>
      <c r="D12" s="8" t="s">
        <v>1078</v>
      </c>
      <c r="E12" s="18">
        <v>40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9">
        <f t="shared" si="1"/>
        <v>40</v>
      </c>
      <c r="L12" s="19">
        <v>8</v>
      </c>
      <c r="M12" s="19">
        <f t="shared" si="0"/>
        <v>32</v>
      </c>
      <c r="N12" s="59">
        <f t="shared" si="2"/>
        <v>0.2</v>
      </c>
      <c r="O12" s="60" t="s">
        <v>496</v>
      </c>
      <c r="P12" s="3"/>
    </row>
    <row r="13" spans="1:16" ht="30" customHeight="1" x14ac:dyDescent="0.45">
      <c r="A13" t="s">
        <v>501</v>
      </c>
      <c r="B13" s="47">
        <v>12</v>
      </c>
      <c r="C13" s="7" t="s">
        <v>1075</v>
      </c>
      <c r="D13" s="8" t="s">
        <v>1080</v>
      </c>
      <c r="E13" s="18">
        <v>50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9">
        <f t="shared" si="1"/>
        <v>50</v>
      </c>
      <c r="L13" s="19">
        <v>10</v>
      </c>
      <c r="M13" s="19">
        <f t="shared" si="0"/>
        <v>40</v>
      </c>
      <c r="N13" s="59">
        <f t="shared" si="2"/>
        <v>0.2</v>
      </c>
      <c r="O13" s="60" t="s">
        <v>496</v>
      </c>
      <c r="P13" s="3"/>
    </row>
    <row r="14" spans="1:16" ht="30" customHeight="1" x14ac:dyDescent="0.45">
      <c r="A14" t="s">
        <v>501</v>
      </c>
      <c r="B14" s="47">
        <v>13</v>
      </c>
      <c r="C14" s="7" t="s">
        <v>1039</v>
      </c>
      <c r="D14" s="8" t="s">
        <v>1041</v>
      </c>
      <c r="E14" s="18">
        <f>24+8</f>
        <v>32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9">
        <f t="shared" si="1"/>
        <v>32</v>
      </c>
      <c r="L14" s="19">
        <v>7</v>
      </c>
      <c r="M14" s="19">
        <f t="shared" si="0"/>
        <v>25</v>
      </c>
      <c r="N14" s="59">
        <f t="shared" si="2"/>
        <v>0.21875</v>
      </c>
      <c r="O14" s="60" t="s">
        <v>496</v>
      </c>
      <c r="P14" s="3"/>
    </row>
    <row r="15" spans="1:16" ht="31.5" customHeight="1" x14ac:dyDescent="0.45">
      <c r="A15" t="s">
        <v>501</v>
      </c>
      <c r="B15" s="47">
        <v>14</v>
      </c>
      <c r="C15" s="7" t="s">
        <v>1040</v>
      </c>
      <c r="D15" s="8" t="s">
        <v>1042</v>
      </c>
      <c r="E15" s="18">
        <f>24+8</f>
        <v>32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f t="shared" si="1"/>
        <v>32</v>
      </c>
      <c r="L15" s="19">
        <v>7</v>
      </c>
      <c r="M15" s="19">
        <f t="shared" si="0"/>
        <v>25</v>
      </c>
      <c r="N15" s="59">
        <f t="shared" si="2"/>
        <v>0.21875</v>
      </c>
      <c r="O15" s="60" t="s">
        <v>496</v>
      </c>
      <c r="P15" s="3"/>
    </row>
    <row r="16" spans="1:16" ht="30" customHeight="1" x14ac:dyDescent="0.45">
      <c r="A16" t="s">
        <v>501</v>
      </c>
      <c r="B16" s="47">
        <v>15</v>
      </c>
      <c r="C16" s="7" t="s">
        <v>895</v>
      </c>
      <c r="D16" s="8" t="s">
        <v>908</v>
      </c>
      <c r="E16" s="18">
        <f>60+20</f>
        <v>80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>
        <v>80</v>
      </c>
      <c r="L16" s="19">
        <v>18</v>
      </c>
      <c r="M16" s="19">
        <f t="shared" si="0"/>
        <v>62</v>
      </c>
      <c r="N16" s="59">
        <f t="shared" si="2"/>
        <v>0.22500000000000001</v>
      </c>
      <c r="O16" s="60" t="s">
        <v>496</v>
      </c>
      <c r="P16" s="3"/>
    </row>
    <row r="17" spans="1:16" ht="30" customHeight="1" x14ac:dyDescent="0.45">
      <c r="A17" t="s">
        <v>501</v>
      </c>
      <c r="B17" s="47">
        <v>16</v>
      </c>
      <c r="C17" s="7" t="s">
        <v>898</v>
      </c>
      <c r="D17" s="8" t="s">
        <v>912</v>
      </c>
      <c r="E17" s="18">
        <v>60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9">
        <v>60</v>
      </c>
      <c r="L17" s="19">
        <v>14</v>
      </c>
      <c r="M17" s="19">
        <f t="shared" si="0"/>
        <v>46</v>
      </c>
      <c r="N17" s="59">
        <f t="shared" si="2"/>
        <v>0.23333333333333334</v>
      </c>
      <c r="O17" s="60" t="s">
        <v>496</v>
      </c>
      <c r="P17" s="3"/>
    </row>
    <row r="18" spans="1:16" ht="30" customHeight="1" x14ac:dyDescent="0.45">
      <c r="A18" t="s">
        <v>501</v>
      </c>
      <c r="B18" s="47">
        <v>17</v>
      </c>
      <c r="C18" s="7" t="s">
        <v>906</v>
      </c>
      <c r="D18" s="8" t="s">
        <v>919</v>
      </c>
      <c r="E18" s="18">
        <f>30+20</f>
        <v>50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9">
        <v>50</v>
      </c>
      <c r="L18" s="19">
        <v>13</v>
      </c>
      <c r="M18" s="19">
        <f t="shared" si="0"/>
        <v>37</v>
      </c>
      <c r="N18" s="20">
        <f t="shared" si="2"/>
        <v>0.26</v>
      </c>
      <c r="O18" s="22" t="s">
        <v>497</v>
      </c>
      <c r="P18" s="3"/>
    </row>
    <row r="19" spans="1:16" ht="30" customHeight="1" x14ac:dyDescent="0.45">
      <c r="A19" t="s">
        <v>501</v>
      </c>
      <c r="B19" s="47">
        <v>18</v>
      </c>
      <c r="C19" s="7" t="s">
        <v>894</v>
      </c>
      <c r="D19" s="8" t="s">
        <v>907</v>
      </c>
      <c r="E19" s="18">
        <v>60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9">
        <v>60</v>
      </c>
      <c r="L19" s="19">
        <v>16</v>
      </c>
      <c r="M19" s="19">
        <f t="shared" si="0"/>
        <v>44</v>
      </c>
      <c r="N19" s="20">
        <f t="shared" si="2"/>
        <v>0.26666666666666666</v>
      </c>
      <c r="O19" s="22" t="s">
        <v>497</v>
      </c>
      <c r="P19" s="3"/>
    </row>
    <row r="20" spans="1:16" ht="30" customHeight="1" x14ac:dyDescent="0.45">
      <c r="A20" t="s">
        <v>501</v>
      </c>
      <c r="B20" s="47">
        <v>19</v>
      </c>
      <c r="C20" s="7" t="s">
        <v>391</v>
      </c>
      <c r="D20" s="8" t="s">
        <v>392</v>
      </c>
      <c r="E20" s="18">
        <f>110+20</f>
        <v>130</v>
      </c>
      <c r="F20" s="18">
        <v>30</v>
      </c>
      <c r="G20" s="18">
        <v>3</v>
      </c>
      <c r="H20" s="18">
        <f>0+3</f>
        <v>3</v>
      </c>
      <c r="I20" s="18">
        <v>0</v>
      </c>
      <c r="J20" s="18">
        <v>0</v>
      </c>
      <c r="K20" s="19">
        <f>E20-F20-G20-H20-I20-J20</f>
        <v>94</v>
      </c>
      <c r="L20" s="19">
        <v>26</v>
      </c>
      <c r="M20" s="19">
        <f t="shared" si="0"/>
        <v>68</v>
      </c>
      <c r="N20" s="20">
        <f t="shared" si="2"/>
        <v>0.27659574468085107</v>
      </c>
      <c r="O20" s="22" t="s">
        <v>497</v>
      </c>
      <c r="P20" s="3"/>
    </row>
    <row r="21" spans="1:16" ht="30" customHeight="1" x14ac:dyDescent="0.45">
      <c r="A21" t="s">
        <v>501</v>
      </c>
      <c r="B21" s="47">
        <v>20</v>
      </c>
      <c r="C21" s="7" t="s">
        <v>861</v>
      </c>
      <c r="D21" s="8" t="s">
        <v>872</v>
      </c>
      <c r="E21" s="18">
        <f>30+30+30</f>
        <v>90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9">
        <v>90</v>
      </c>
      <c r="L21" s="19">
        <v>25</v>
      </c>
      <c r="M21" s="19">
        <f t="shared" si="0"/>
        <v>65</v>
      </c>
      <c r="N21" s="20">
        <f t="shared" si="2"/>
        <v>0.27777777777777779</v>
      </c>
      <c r="O21" s="22" t="s">
        <v>497</v>
      </c>
      <c r="P21" s="3"/>
    </row>
    <row r="22" spans="1:16" ht="30" customHeight="1" x14ac:dyDescent="0.45">
      <c r="A22" t="s">
        <v>501</v>
      </c>
      <c r="B22" s="47">
        <v>21</v>
      </c>
      <c r="C22" s="7" t="s">
        <v>1076</v>
      </c>
      <c r="D22" s="8" t="s">
        <v>1081</v>
      </c>
      <c r="E22" s="18">
        <v>50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9">
        <f>E22-F22-G22-H22-I22-J22</f>
        <v>50</v>
      </c>
      <c r="L22" s="19">
        <v>14</v>
      </c>
      <c r="M22" s="19">
        <f t="shared" si="0"/>
        <v>36</v>
      </c>
      <c r="N22" s="20">
        <f t="shared" si="2"/>
        <v>0.28000000000000003</v>
      </c>
      <c r="O22" s="22" t="s">
        <v>497</v>
      </c>
      <c r="P22" s="3"/>
    </row>
    <row r="23" spans="1:16" ht="30" customHeight="1" x14ac:dyDescent="0.45">
      <c r="A23" t="s">
        <v>501</v>
      </c>
      <c r="B23" s="47">
        <v>22</v>
      </c>
      <c r="C23" s="7" t="s">
        <v>88</v>
      </c>
      <c r="D23" s="8" t="s">
        <v>89</v>
      </c>
      <c r="E23" s="18">
        <v>206</v>
      </c>
      <c r="F23" s="18">
        <v>40</v>
      </c>
      <c r="G23" s="18">
        <v>11</v>
      </c>
      <c r="H23" s="18">
        <v>20</v>
      </c>
      <c r="I23" s="18">
        <v>1</v>
      </c>
      <c r="J23" s="18">
        <v>0</v>
      </c>
      <c r="K23" s="19">
        <f>E23-F23-G23-H23-I23-J23</f>
        <v>134</v>
      </c>
      <c r="L23" s="19">
        <v>39</v>
      </c>
      <c r="M23" s="19">
        <f t="shared" si="0"/>
        <v>95</v>
      </c>
      <c r="N23" s="20">
        <f t="shared" si="2"/>
        <v>0.29104477611940299</v>
      </c>
      <c r="O23" s="22" t="s">
        <v>497</v>
      </c>
      <c r="P23" s="3"/>
    </row>
    <row r="24" spans="1:16" ht="30" customHeight="1" x14ac:dyDescent="0.45">
      <c r="A24" t="s">
        <v>501</v>
      </c>
      <c r="B24" s="47">
        <v>23</v>
      </c>
      <c r="C24" s="7" t="s">
        <v>865</v>
      </c>
      <c r="D24" s="8" t="s">
        <v>876</v>
      </c>
      <c r="E24" s="18">
        <f>40+30+20</f>
        <v>90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9">
        <v>90</v>
      </c>
      <c r="L24" s="19">
        <v>27</v>
      </c>
      <c r="M24" s="19">
        <f t="shared" si="0"/>
        <v>63</v>
      </c>
      <c r="N24" s="20">
        <f t="shared" si="2"/>
        <v>0.3</v>
      </c>
      <c r="O24" s="22" t="s">
        <v>497</v>
      </c>
      <c r="P24" s="3"/>
    </row>
    <row r="25" spans="1:16" ht="30" customHeight="1" x14ac:dyDescent="0.45">
      <c r="A25" t="s">
        <v>501</v>
      </c>
      <c r="B25" s="47">
        <v>24</v>
      </c>
      <c r="C25" s="7" t="s">
        <v>899</v>
      </c>
      <c r="D25" s="8" t="s">
        <v>913</v>
      </c>
      <c r="E25" s="18">
        <f>30+30+20</f>
        <v>80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9">
        <v>80</v>
      </c>
      <c r="L25" s="19">
        <v>25</v>
      </c>
      <c r="M25" s="19">
        <f t="shared" si="0"/>
        <v>55</v>
      </c>
      <c r="N25" s="20">
        <f t="shared" si="2"/>
        <v>0.3125</v>
      </c>
      <c r="O25" s="22" t="s">
        <v>497</v>
      </c>
      <c r="P25" s="3"/>
    </row>
    <row r="26" spans="1:16" ht="30" customHeight="1" x14ac:dyDescent="0.45">
      <c r="A26" t="s">
        <v>501</v>
      </c>
      <c r="B26" s="47">
        <v>25</v>
      </c>
      <c r="C26" s="7" t="s">
        <v>79</v>
      </c>
      <c r="D26" s="8" t="s">
        <v>80</v>
      </c>
      <c r="E26" s="18">
        <v>200</v>
      </c>
      <c r="F26" s="18">
        <v>40</v>
      </c>
      <c r="G26" s="18">
        <v>10</v>
      </c>
      <c r="H26" s="18">
        <v>10</v>
      </c>
      <c r="I26" s="18">
        <v>3</v>
      </c>
      <c r="J26" s="18">
        <v>0</v>
      </c>
      <c r="K26" s="19">
        <f t="shared" ref="K26:K31" si="3">E26-F26-G26-H26-I26-J26</f>
        <v>137</v>
      </c>
      <c r="L26" s="19">
        <v>43</v>
      </c>
      <c r="M26" s="19">
        <f t="shared" si="0"/>
        <v>94</v>
      </c>
      <c r="N26" s="20">
        <f t="shared" si="2"/>
        <v>0.31386861313868614</v>
      </c>
      <c r="O26" s="22" t="s">
        <v>497</v>
      </c>
      <c r="P26" s="3"/>
    </row>
    <row r="27" spans="1:16" ht="30" customHeight="1" x14ac:dyDescent="0.45">
      <c r="A27" t="s">
        <v>501</v>
      </c>
      <c r="B27" s="47">
        <v>26</v>
      </c>
      <c r="C27" s="7" t="s">
        <v>855</v>
      </c>
      <c r="D27" s="8" t="s">
        <v>856</v>
      </c>
      <c r="E27" s="18">
        <v>55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9">
        <f t="shared" si="3"/>
        <v>55</v>
      </c>
      <c r="L27" s="19">
        <v>18</v>
      </c>
      <c r="M27" s="19">
        <f t="shared" si="0"/>
        <v>37</v>
      </c>
      <c r="N27" s="20">
        <f t="shared" si="2"/>
        <v>0.32727272727272727</v>
      </c>
      <c r="O27" s="22" t="s">
        <v>497</v>
      </c>
      <c r="P27" s="3"/>
    </row>
    <row r="28" spans="1:16" ht="30" customHeight="1" x14ac:dyDescent="0.45">
      <c r="A28" t="s">
        <v>501</v>
      </c>
      <c r="B28" s="47">
        <v>27</v>
      </c>
      <c r="C28" s="7" t="s">
        <v>857</v>
      </c>
      <c r="D28" s="8" t="s">
        <v>858</v>
      </c>
      <c r="E28" s="18">
        <f>20+5+5+30</f>
        <v>60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9">
        <f t="shared" si="3"/>
        <v>60</v>
      </c>
      <c r="L28" s="19">
        <v>21</v>
      </c>
      <c r="M28" s="19">
        <f t="shared" si="0"/>
        <v>39</v>
      </c>
      <c r="N28" s="20">
        <f t="shared" si="2"/>
        <v>0.35</v>
      </c>
      <c r="O28" s="22" t="s">
        <v>497</v>
      </c>
      <c r="P28" s="3"/>
    </row>
    <row r="29" spans="1:16" ht="30" customHeight="1" x14ac:dyDescent="0.45">
      <c r="A29" t="s">
        <v>501</v>
      </c>
      <c r="B29" s="47">
        <v>28</v>
      </c>
      <c r="C29" s="7" t="s">
        <v>1074</v>
      </c>
      <c r="D29" s="8" t="s">
        <v>1079</v>
      </c>
      <c r="E29" s="18">
        <v>60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9">
        <f t="shared" si="3"/>
        <v>60</v>
      </c>
      <c r="L29" s="19">
        <v>22</v>
      </c>
      <c r="M29" s="19">
        <f t="shared" si="0"/>
        <v>38</v>
      </c>
      <c r="N29" s="20">
        <f t="shared" si="2"/>
        <v>0.36666666666666664</v>
      </c>
      <c r="O29" s="22" t="s">
        <v>497</v>
      </c>
      <c r="P29" s="3"/>
    </row>
    <row r="30" spans="1:16" ht="30" customHeight="1" x14ac:dyDescent="0.45">
      <c r="A30" t="s">
        <v>501</v>
      </c>
      <c r="B30" s="47">
        <v>29</v>
      </c>
      <c r="C30" s="7" t="s">
        <v>77</v>
      </c>
      <c r="D30" s="8" t="s">
        <v>78</v>
      </c>
      <c r="E30" s="18">
        <v>189</v>
      </c>
      <c r="F30" s="18">
        <v>40</v>
      </c>
      <c r="G30" s="18">
        <f>10+10</f>
        <v>20</v>
      </c>
      <c r="H30" s="18">
        <v>10</v>
      </c>
      <c r="I30" s="18">
        <v>2</v>
      </c>
      <c r="J30" s="18">
        <v>0</v>
      </c>
      <c r="K30" s="19">
        <f t="shared" si="3"/>
        <v>117</v>
      </c>
      <c r="L30" s="19">
        <v>44</v>
      </c>
      <c r="M30" s="19">
        <f t="shared" si="0"/>
        <v>73</v>
      </c>
      <c r="N30" s="20">
        <f t="shared" si="2"/>
        <v>0.37606837606837606</v>
      </c>
      <c r="O30" s="22" t="s">
        <v>497</v>
      </c>
      <c r="P30" s="3"/>
    </row>
    <row r="31" spans="1:16" ht="30" customHeight="1" x14ac:dyDescent="0.45">
      <c r="A31" t="s">
        <v>501</v>
      </c>
      <c r="B31" s="47">
        <v>30</v>
      </c>
      <c r="C31" s="7" t="s">
        <v>28</v>
      </c>
      <c r="D31" s="8" t="s">
        <v>29</v>
      </c>
      <c r="E31" s="18">
        <v>398</v>
      </c>
      <c r="F31" s="18">
        <f>80+30+40+10</f>
        <v>160</v>
      </c>
      <c r="G31" s="18">
        <v>40</v>
      </c>
      <c r="H31" s="18">
        <f>30+20</f>
        <v>50</v>
      </c>
      <c r="I31" s="18">
        <v>3</v>
      </c>
      <c r="J31" s="18">
        <v>0</v>
      </c>
      <c r="K31" s="19">
        <f t="shared" si="3"/>
        <v>145</v>
      </c>
      <c r="L31" s="19">
        <v>57</v>
      </c>
      <c r="M31" s="19">
        <f t="shared" si="0"/>
        <v>88</v>
      </c>
      <c r="N31" s="20">
        <f t="shared" si="2"/>
        <v>0.39310344827586208</v>
      </c>
      <c r="O31" s="22" t="s">
        <v>497</v>
      </c>
      <c r="P31" s="3"/>
    </row>
    <row r="32" spans="1:16" ht="26.4" customHeight="1" x14ac:dyDescent="0.45">
      <c r="A32" t="s">
        <v>501</v>
      </c>
      <c r="B32" s="47">
        <v>31</v>
      </c>
      <c r="C32" s="7" t="s">
        <v>860</v>
      </c>
      <c r="D32" s="8" t="s">
        <v>871</v>
      </c>
      <c r="E32" s="18">
        <v>60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9">
        <v>60</v>
      </c>
      <c r="L32" s="19">
        <v>24</v>
      </c>
      <c r="M32" s="19">
        <f t="shared" si="0"/>
        <v>36</v>
      </c>
      <c r="N32" s="20">
        <f t="shared" si="2"/>
        <v>0.4</v>
      </c>
      <c r="O32" s="22" t="s">
        <v>497</v>
      </c>
      <c r="P32" s="3"/>
    </row>
    <row r="33" spans="1:16" ht="30" customHeight="1" x14ac:dyDescent="0.45">
      <c r="A33" t="s">
        <v>501</v>
      </c>
      <c r="B33" s="47">
        <v>32</v>
      </c>
      <c r="C33" s="7" t="s">
        <v>42</v>
      </c>
      <c r="D33" s="8" t="s">
        <v>41</v>
      </c>
      <c r="E33" s="18">
        <v>210</v>
      </c>
      <c r="F33" s="18">
        <v>40</v>
      </c>
      <c r="G33" s="18">
        <f>10+6</f>
        <v>16</v>
      </c>
      <c r="H33" s="18">
        <v>10</v>
      </c>
      <c r="I33" s="18">
        <v>3</v>
      </c>
      <c r="J33" s="18">
        <v>0</v>
      </c>
      <c r="K33" s="19">
        <f>E33-F33-G33-H33-I33-J33</f>
        <v>141</v>
      </c>
      <c r="L33" s="19">
        <v>57</v>
      </c>
      <c r="M33" s="19">
        <f t="shared" si="0"/>
        <v>84</v>
      </c>
      <c r="N33" s="20">
        <f t="shared" si="2"/>
        <v>0.40425531914893614</v>
      </c>
      <c r="O33" s="22" t="s">
        <v>497</v>
      </c>
      <c r="P33" s="3"/>
    </row>
    <row r="34" spans="1:16" ht="30" customHeight="1" x14ac:dyDescent="0.45">
      <c r="A34" t="s">
        <v>501</v>
      </c>
      <c r="B34" s="47">
        <v>33</v>
      </c>
      <c r="C34" s="7" t="s">
        <v>24</v>
      </c>
      <c r="D34" s="8" t="s">
        <v>25</v>
      </c>
      <c r="E34" s="18">
        <v>400</v>
      </c>
      <c r="F34" s="18">
        <v>100</v>
      </c>
      <c r="G34" s="18">
        <v>20</v>
      </c>
      <c r="H34" s="18">
        <v>110</v>
      </c>
      <c r="I34" s="18">
        <v>3</v>
      </c>
      <c r="J34" s="18">
        <v>0</v>
      </c>
      <c r="K34" s="19">
        <f>E34-F34-G34-H34-I34-J34</f>
        <v>167</v>
      </c>
      <c r="L34" s="19">
        <v>69</v>
      </c>
      <c r="M34" s="19">
        <f t="shared" si="0"/>
        <v>98</v>
      </c>
      <c r="N34" s="20">
        <f t="shared" si="2"/>
        <v>0.41317365269461076</v>
      </c>
      <c r="O34" s="22" t="s">
        <v>497</v>
      </c>
      <c r="P34" s="3"/>
    </row>
    <row r="35" spans="1:16" ht="30" customHeight="1" x14ac:dyDescent="0.45">
      <c r="A35" t="s">
        <v>501</v>
      </c>
      <c r="B35" s="47">
        <v>34</v>
      </c>
      <c r="C35" s="7" t="s">
        <v>385</v>
      </c>
      <c r="D35" s="8" t="s">
        <v>386</v>
      </c>
      <c r="E35" s="18">
        <v>170</v>
      </c>
      <c r="F35" s="18">
        <v>60</v>
      </c>
      <c r="G35" s="18">
        <v>0</v>
      </c>
      <c r="H35" s="18">
        <v>1</v>
      </c>
      <c r="I35" s="18">
        <v>0</v>
      </c>
      <c r="J35" s="18">
        <v>0</v>
      </c>
      <c r="K35" s="19">
        <f>E35-F35-G35-H35-I35-J35</f>
        <v>109</v>
      </c>
      <c r="L35" s="19">
        <v>46</v>
      </c>
      <c r="M35" s="19">
        <f t="shared" si="0"/>
        <v>63</v>
      </c>
      <c r="N35" s="20">
        <f t="shared" si="2"/>
        <v>0.42201834862385323</v>
      </c>
      <c r="O35" s="22" t="s">
        <v>497</v>
      </c>
      <c r="P35" s="3"/>
    </row>
    <row r="36" spans="1:16" ht="30" customHeight="1" x14ac:dyDescent="0.45">
      <c r="A36" t="s">
        <v>501</v>
      </c>
      <c r="B36" s="47">
        <v>35</v>
      </c>
      <c r="C36" s="7" t="s">
        <v>902</v>
      </c>
      <c r="D36" s="8" t="s">
        <v>916</v>
      </c>
      <c r="E36" s="30">
        <f>60+20</f>
        <v>80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29">
        <v>80</v>
      </c>
      <c r="L36" s="29">
        <v>34</v>
      </c>
      <c r="M36" s="29">
        <f t="shared" si="0"/>
        <v>46</v>
      </c>
      <c r="N36" s="20">
        <f t="shared" si="2"/>
        <v>0.42499999999999999</v>
      </c>
      <c r="O36" s="22" t="s">
        <v>497</v>
      </c>
      <c r="P36" s="3"/>
    </row>
    <row r="37" spans="1:16" ht="30" customHeight="1" x14ac:dyDescent="0.45">
      <c r="A37" t="s">
        <v>501</v>
      </c>
      <c r="B37" s="47">
        <v>36</v>
      </c>
      <c r="C37" s="7" t="s">
        <v>82</v>
      </c>
      <c r="D37" s="8" t="s">
        <v>83</v>
      </c>
      <c r="E37" s="18">
        <v>182</v>
      </c>
      <c r="F37" s="18">
        <v>40</v>
      </c>
      <c r="G37" s="18">
        <v>10</v>
      </c>
      <c r="H37" s="18">
        <v>10</v>
      </c>
      <c r="I37" s="18">
        <v>3</v>
      </c>
      <c r="J37" s="18">
        <v>0</v>
      </c>
      <c r="K37" s="19">
        <f>E37-F37-G37-H37-I37-J37</f>
        <v>119</v>
      </c>
      <c r="L37" s="19">
        <v>51</v>
      </c>
      <c r="M37" s="19">
        <f t="shared" si="0"/>
        <v>68</v>
      </c>
      <c r="N37" s="20">
        <f t="shared" ref="N37:N68" si="4">L37/K37</f>
        <v>0.42857142857142855</v>
      </c>
      <c r="O37" s="22" t="s">
        <v>497</v>
      </c>
      <c r="P37" s="3"/>
    </row>
    <row r="38" spans="1:16" ht="30" customHeight="1" x14ac:dyDescent="0.45">
      <c r="A38" t="s">
        <v>501</v>
      </c>
      <c r="B38" s="47">
        <v>37</v>
      </c>
      <c r="C38" s="7" t="s">
        <v>903</v>
      </c>
      <c r="D38" s="8" t="s">
        <v>917</v>
      </c>
      <c r="E38" s="18">
        <v>50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9">
        <v>50</v>
      </c>
      <c r="L38" s="19">
        <v>22</v>
      </c>
      <c r="M38" s="19">
        <f t="shared" si="0"/>
        <v>28</v>
      </c>
      <c r="N38" s="20">
        <f t="shared" si="4"/>
        <v>0.44</v>
      </c>
      <c r="O38" s="22" t="s">
        <v>497</v>
      </c>
      <c r="P38" s="3"/>
    </row>
    <row r="39" spans="1:16" ht="30" customHeight="1" x14ac:dyDescent="0.45">
      <c r="A39" t="s">
        <v>501</v>
      </c>
      <c r="B39" s="47">
        <v>38</v>
      </c>
      <c r="C39" s="7" t="s">
        <v>862</v>
      </c>
      <c r="D39" s="8" t="s">
        <v>873</v>
      </c>
      <c r="E39" s="18">
        <v>50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9">
        <v>50</v>
      </c>
      <c r="L39" s="19">
        <v>22</v>
      </c>
      <c r="M39" s="19">
        <f t="shared" si="0"/>
        <v>28</v>
      </c>
      <c r="N39" s="20">
        <f t="shared" si="4"/>
        <v>0.44</v>
      </c>
      <c r="O39" s="22" t="s">
        <v>497</v>
      </c>
      <c r="P39" s="3"/>
    </row>
    <row r="40" spans="1:16" ht="30" customHeight="1" x14ac:dyDescent="0.45">
      <c r="A40" t="s">
        <v>501</v>
      </c>
      <c r="B40" s="47">
        <v>39</v>
      </c>
      <c r="C40" s="7" t="s">
        <v>62</v>
      </c>
      <c r="D40" s="8" t="s">
        <v>63</v>
      </c>
      <c r="E40" s="18">
        <f>100+30+60</f>
        <v>190</v>
      </c>
      <c r="F40" s="18">
        <v>40</v>
      </c>
      <c r="G40" s="18">
        <v>10</v>
      </c>
      <c r="H40" s="18">
        <v>10</v>
      </c>
      <c r="I40" s="18">
        <v>2</v>
      </c>
      <c r="J40" s="18">
        <v>0</v>
      </c>
      <c r="K40" s="19">
        <f t="shared" ref="K40:K47" si="5">E40-F40-G40-H40-I40-J40</f>
        <v>128</v>
      </c>
      <c r="L40" s="19">
        <v>59</v>
      </c>
      <c r="M40" s="19">
        <f t="shared" si="0"/>
        <v>69</v>
      </c>
      <c r="N40" s="20">
        <f t="shared" si="4"/>
        <v>0.4609375</v>
      </c>
      <c r="O40" s="22" t="s">
        <v>497</v>
      </c>
      <c r="P40" s="3"/>
    </row>
    <row r="41" spans="1:16" ht="30" customHeight="1" x14ac:dyDescent="0.45">
      <c r="A41" t="s">
        <v>501</v>
      </c>
      <c r="B41" s="47">
        <v>40</v>
      </c>
      <c r="C41" s="7" t="s">
        <v>26</v>
      </c>
      <c r="D41" s="8" t="s">
        <v>27</v>
      </c>
      <c r="E41" s="18">
        <v>190</v>
      </c>
      <c r="F41" s="18">
        <v>40</v>
      </c>
      <c r="G41" s="18">
        <v>10</v>
      </c>
      <c r="H41" s="18">
        <v>10</v>
      </c>
      <c r="I41" s="18">
        <v>2</v>
      </c>
      <c r="J41" s="18">
        <v>0</v>
      </c>
      <c r="K41" s="19">
        <f t="shared" si="5"/>
        <v>128</v>
      </c>
      <c r="L41" s="19">
        <v>61</v>
      </c>
      <c r="M41" s="19">
        <f t="shared" si="0"/>
        <v>67</v>
      </c>
      <c r="N41" s="20">
        <f t="shared" si="4"/>
        <v>0.4765625</v>
      </c>
      <c r="O41" s="22" t="s">
        <v>497</v>
      </c>
      <c r="P41" s="3"/>
    </row>
    <row r="42" spans="1:16" ht="30" customHeight="1" x14ac:dyDescent="0.45">
      <c r="A42" t="s">
        <v>501</v>
      </c>
      <c r="B42" s="47">
        <v>41</v>
      </c>
      <c r="C42" s="7" t="s">
        <v>30</v>
      </c>
      <c r="D42" s="8" t="s">
        <v>31</v>
      </c>
      <c r="E42" s="18">
        <v>160</v>
      </c>
      <c r="F42" s="18">
        <v>40</v>
      </c>
      <c r="G42" s="18">
        <v>10</v>
      </c>
      <c r="H42" s="18">
        <v>10</v>
      </c>
      <c r="I42" s="18">
        <v>3</v>
      </c>
      <c r="J42" s="18">
        <v>0</v>
      </c>
      <c r="K42" s="19">
        <f t="shared" si="5"/>
        <v>97</v>
      </c>
      <c r="L42" s="19">
        <v>47</v>
      </c>
      <c r="M42" s="19">
        <f t="shared" si="0"/>
        <v>50</v>
      </c>
      <c r="N42" s="20">
        <f t="shared" si="4"/>
        <v>0.4845360824742268</v>
      </c>
      <c r="O42" s="22" t="s">
        <v>497</v>
      </c>
      <c r="P42" s="3"/>
    </row>
    <row r="43" spans="1:16" ht="30" customHeight="1" x14ac:dyDescent="0.45">
      <c r="A43" t="s">
        <v>501</v>
      </c>
      <c r="B43" s="47">
        <v>42</v>
      </c>
      <c r="C43" s="7" t="s">
        <v>81</v>
      </c>
      <c r="D43" s="8" t="s">
        <v>46</v>
      </c>
      <c r="E43" s="30">
        <v>458</v>
      </c>
      <c r="F43" s="30">
        <v>140</v>
      </c>
      <c r="G43" s="30">
        <f>20+5</f>
        <v>25</v>
      </c>
      <c r="H43" s="30">
        <v>21</v>
      </c>
      <c r="I43" s="30">
        <v>3</v>
      </c>
      <c r="J43" s="30">
        <v>0</v>
      </c>
      <c r="K43" s="29">
        <f t="shared" si="5"/>
        <v>269</v>
      </c>
      <c r="L43" s="29">
        <v>131</v>
      </c>
      <c r="M43" s="29">
        <f t="shared" si="0"/>
        <v>138</v>
      </c>
      <c r="N43" s="20">
        <f t="shared" si="4"/>
        <v>0.48698884758364314</v>
      </c>
      <c r="O43" s="22" t="s">
        <v>497</v>
      </c>
      <c r="P43" s="3"/>
    </row>
    <row r="44" spans="1:16" ht="30" customHeight="1" x14ac:dyDescent="0.45">
      <c r="A44" t="s">
        <v>501</v>
      </c>
      <c r="B44" s="47">
        <v>43</v>
      </c>
      <c r="C44" s="7" t="s">
        <v>45</v>
      </c>
      <c r="D44" s="8" t="s">
        <v>46</v>
      </c>
      <c r="E44" s="30">
        <v>870</v>
      </c>
      <c r="F44" s="30">
        <f>260+10+50</f>
        <v>320</v>
      </c>
      <c r="G44" s="30">
        <f>15+10</f>
        <v>25</v>
      </c>
      <c r="H44" s="30">
        <v>91</v>
      </c>
      <c r="I44" s="30">
        <v>3</v>
      </c>
      <c r="J44" s="30">
        <v>0</v>
      </c>
      <c r="K44" s="29">
        <f t="shared" si="5"/>
        <v>431</v>
      </c>
      <c r="L44" s="29">
        <v>215</v>
      </c>
      <c r="M44" s="29">
        <f t="shared" si="0"/>
        <v>216</v>
      </c>
      <c r="N44" s="20">
        <f t="shared" si="4"/>
        <v>0.49883990719257543</v>
      </c>
      <c r="O44" s="22" t="s">
        <v>497</v>
      </c>
      <c r="P44" s="3"/>
    </row>
    <row r="45" spans="1:16" ht="30" customHeight="1" x14ac:dyDescent="0.45">
      <c r="A45" t="s">
        <v>501</v>
      </c>
      <c r="B45" s="47">
        <v>44</v>
      </c>
      <c r="C45" s="7" t="s">
        <v>389</v>
      </c>
      <c r="D45" s="8" t="s">
        <v>390</v>
      </c>
      <c r="E45" s="18">
        <v>150</v>
      </c>
      <c r="F45" s="18">
        <v>50</v>
      </c>
      <c r="G45" s="18">
        <v>0</v>
      </c>
      <c r="H45" s="18">
        <v>1</v>
      </c>
      <c r="I45" s="18">
        <v>0</v>
      </c>
      <c r="J45" s="18">
        <v>0</v>
      </c>
      <c r="K45" s="19">
        <f t="shared" si="5"/>
        <v>99</v>
      </c>
      <c r="L45" s="19">
        <v>51</v>
      </c>
      <c r="M45" s="19">
        <f t="shared" si="0"/>
        <v>48</v>
      </c>
      <c r="N45" s="23">
        <f t="shared" si="4"/>
        <v>0.51515151515151514</v>
      </c>
      <c r="O45" s="24" t="s">
        <v>498</v>
      </c>
      <c r="P45" s="3"/>
    </row>
    <row r="46" spans="1:16" ht="30" customHeight="1" x14ac:dyDescent="0.45">
      <c r="A46" t="s">
        <v>501</v>
      </c>
      <c r="B46" s="47">
        <v>45</v>
      </c>
      <c r="C46" s="7" t="s">
        <v>398</v>
      </c>
      <c r="D46" s="8" t="s">
        <v>399</v>
      </c>
      <c r="E46" s="18">
        <f>47+21+6+12+6</f>
        <v>92</v>
      </c>
      <c r="F46" s="18">
        <v>20</v>
      </c>
      <c r="G46" s="18">
        <v>0</v>
      </c>
      <c r="H46" s="18">
        <v>10</v>
      </c>
      <c r="I46" s="18">
        <v>0</v>
      </c>
      <c r="J46" s="18">
        <v>0</v>
      </c>
      <c r="K46" s="19">
        <f t="shared" si="5"/>
        <v>62</v>
      </c>
      <c r="L46" s="19">
        <v>32</v>
      </c>
      <c r="M46" s="19">
        <f t="shared" si="0"/>
        <v>30</v>
      </c>
      <c r="N46" s="23">
        <f t="shared" si="4"/>
        <v>0.5161290322580645</v>
      </c>
      <c r="O46" s="24" t="s">
        <v>498</v>
      </c>
      <c r="P46" s="3"/>
    </row>
    <row r="47" spans="1:16" ht="30" customHeight="1" x14ac:dyDescent="0.45">
      <c r="A47" t="s">
        <v>501</v>
      </c>
      <c r="B47" s="47">
        <v>46</v>
      </c>
      <c r="C47" s="7" t="s">
        <v>38</v>
      </c>
      <c r="D47" s="8" t="s">
        <v>39</v>
      </c>
      <c r="E47" s="30">
        <f>100+20+70+20</f>
        <v>210</v>
      </c>
      <c r="F47" s="30">
        <v>40</v>
      </c>
      <c r="G47" s="30">
        <v>10</v>
      </c>
      <c r="H47" s="30">
        <v>20</v>
      </c>
      <c r="I47" s="30">
        <v>3</v>
      </c>
      <c r="J47" s="30">
        <v>0</v>
      </c>
      <c r="K47" s="29">
        <f t="shared" si="5"/>
        <v>137</v>
      </c>
      <c r="L47" s="19">
        <v>71</v>
      </c>
      <c r="M47" s="19">
        <v>66</v>
      </c>
      <c r="N47" s="23">
        <f t="shared" si="4"/>
        <v>0.51824817518248179</v>
      </c>
      <c r="O47" s="24" t="s">
        <v>498</v>
      </c>
      <c r="P47" s="3"/>
    </row>
    <row r="48" spans="1:16" ht="30" customHeight="1" x14ac:dyDescent="0.45">
      <c r="A48" t="s">
        <v>501</v>
      </c>
      <c r="B48" s="47">
        <v>47</v>
      </c>
      <c r="C48" s="7" t="s">
        <v>905</v>
      </c>
      <c r="D48" s="8" t="s">
        <v>394</v>
      </c>
      <c r="E48" s="18">
        <f>30+20</f>
        <v>50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9">
        <v>50</v>
      </c>
      <c r="L48" s="19">
        <v>26</v>
      </c>
      <c r="M48" s="19">
        <f>K48-L48</f>
        <v>24</v>
      </c>
      <c r="N48" s="23">
        <f t="shared" si="4"/>
        <v>0.52</v>
      </c>
      <c r="O48" s="24" t="s">
        <v>498</v>
      </c>
      <c r="P48" s="3"/>
    </row>
    <row r="49" spans="1:16" ht="30" customHeight="1" x14ac:dyDescent="0.45">
      <c r="A49" t="s">
        <v>501</v>
      </c>
      <c r="B49" s="47">
        <v>48</v>
      </c>
      <c r="C49" s="7" t="s">
        <v>70</v>
      </c>
      <c r="D49" s="8" t="s">
        <v>71</v>
      </c>
      <c r="E49" s="18">
        <f>123+10</f>
        <v>133</v>
      </c>
      <c r="F49" s="18">
        <v>40</v>
      </c>
      <c r="G49" s="18">
        <f>10+5</f>
        <v>15</v>
      </c>
      <c r="H49" s="18">
        <v>10</v>
      </c>
      <c r="I49" s="18">
        <v>3</v>
      </c>
      <c r="J49" s="18">
        <v>0</v>
      </c>
      <c r="K49" s="19">
        <f>E49-F49-G49-H49-I49-J49</f>
        <v>65</v>
      </c>
      <c r="L49" s="19">
        <v>34</v>
      </c>
      <c r="M49" s="19">
        <f>K49-L49</f>
        <v>31</v>
      </c>
      <c r="N49" s="23">
        <f t="shared" si="4"/>
        <v>0.52307692307692311</v>
      </c>
      <c r="O49" s="24" t="s">
        <v>498</v>
      </c>
      <c r="P49" s="3"/>
    </row>
    <row r="50" spans="1:16" ht="30" customHeight="1" x14ac:dyDescent="0.45">
      <c r="A50" t="s">
        <v>501</v>
      </c>
      <c r="B50" s="47">
        <v>49</v>
      </c>
      <c r="C50" s="7" t="s">
        <v>904</v>
      </c>
      <c r="D50" s="8" t="s">
        <v>918</v>
      </c>
      <c r="E50" s="18">
        <f>60+20</f>
        <v>80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9">
        <v>80</v>
      </c>
      <c r="L50" s="19">
        <v>42</v>
      </c>
      <c r="M50" s="19">
        <f>K50-L50</f>
        <v>38</v>
      </c>
      <c r="N50" s="23">
        <f t="shared" si="4"/>
        <v>0.52500000000000002</v>
      </c>
      <c r="O50" s="24" t="s">
        <v>498</v>
      </c>
      <c r="P50" s="3"/>
    </row>
    <row r="51" spans="1:16" ht="30" customHeight="1" x14ac:dyDescent="0.45">
      <c r="A51" t="s">
        <v>501</v>
      </c>
      <c r="B51" s="47">
        <v>50</v>
      </c>
      <c r="C51" s="7" t="s">
        <v>900</v>
      </c>
      <c r="D51" s="8" t="s">
        <v>914</v>
      </c>
      <c r="E51" s="30">
        <f>40+20+10</f>
        <v>70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29">
        <v>70</v>
      </c>
      <c r="L51" s="29">
        <v>37</v>
      </c>
      <c r="M51" s="29">
        <f>K51-L51</f>
        <v>33</v>
      </c>
      <c r="N51" s="23">
        <f t="shared" si="4"/>
        <v>0.52857142857142858</v>
      </c>
      <c r="O51" s="24" t="s">
        <v>498</v>
      </c>
      <c r="P51" s="3"/>
    </row>
    <row r="52" spans="1:16" ht="31.5" customHeight="1" x14ac:dyDescent="0.45">
      <c r="A52" t="s">
        <v>501</v>
      </c>
      <c r="B52" s="47">
        <v>51</v>
      </c>
      <c r="C52" s="7" t="s">
        <v>395</v>
      </c>
      <c r="D52" s="8" t="s">
        <v>203</v>
      </c>
      <c r="E52" s="30">
        <v>221</v>
      </c>
      <c r="F52" s="30">
        <v>40</v>
      </c>
      <c r="G52" s="30">
        <v>8</v>
      </c>
      <c r="H52" s="30">
        <v>20</v>
      </c>
      <c r="I52" s="30">
        <v>0</v>
      </c>
      <c r="J52" s="30">
        <v>0</v>
      </c>
      <c r="K52" s="29">
        <f t="shared" ref="K52:K58" si="6">E52-F52-G52-H52-I52-J52</f>
        <v>153</v>
      </c>
      <c r="L52" s="29">
        <v>81</v>
      </c>
      <c r="M52" s="29">
        <f>K52-L52</f>
        <v>72</v>
      </c>
      <c r="N52" s="23">
        <f t="shared" si="4"/>
        <v>0.52941176470588236</v>
      </c>
      <c r="O52" s="24" t="s">
        <v>498</v>
      </c>
      <c r="P52" s="3"/>
    </row>
    <row r="53" spans="1:16" ht="30" customHeight="1" x14ac:dyDescent="0.45">
      <c r="A53" t="s">
        <v>501</v>
      </c>
      <c r="B53" s="47">
        <v>52</v>
      </c>
      <c r="C53" s="7" t="s">
        <v>387</v>
      </c>
      <c r="D53" s="8" t="s">
        <v>388</v>
      </c>
      <c r="E53" s="18">
        <v>200</v>
      </c>
      <c r="F53" s="18">
        <f>52+10+10</f>
        <v>72</v>
      </c>
      <c r="G53" s="18">
        <v>0</v>
      </c>
      <c r="H53" s="18">
        <f>1+10</f>
        <v>11</v>
      </c>
      <c r="I53" s="18">
        <v>0</v>
      </c>
      <c r="J53" s="18">
        <v>0</v>
      </c>
      <c r="K53" s="19">
        <f t="shared" si="6"/>
        <v>117</v>
      </c>
      <c r="L53" s="19">
        <v>62</v>
      </c>
      <c r="M53" s="19">
        <v>55</v>
      </c>
      <c r="N53" s="23">
        <f t="shared" si="4"/>
        <v>0.52991452991452992</v>
      </c>
      <c r="O53" s="24" t="s">
        <v>498</v>
      </c>
      <c r="P53" s="3"/>
    </row>
    <row r="54" spans="1:16" ht="30" customHeight="1" x14ac:dyDescent="0.45">
      <c r="A54" t="s">
        <v>501</v>
      </c>
      <c r="B54" s="47">
        <v>53</v>
      </c>
      <c r="C54" s="7" t="s">
        <v>73</v>
      </c>
      <c r="D54" s="8" t="s">
        <v>74</v>
      </c>
      <c r="E54" s="18">
        <v>250</v>
      </c>
      <c r="F54" s="18">
        <v>70</v>
      </c>
      <c r="G54" s="18">
        <v>10</v>
      </c>
      <c r="H54" s="18">
        <v>20</v>
      </c>
      <c r="I54" s="18">
        <v>3</v>
      </c>
      <c r="J54" s="18">
        <v>0</v>
      </c>
      <c r="K54" s="19">
        <f t="shared" si="6"/>
        <v>147</v>
      </c>
      <c r="L54" s="19">
        <v>78</v>
      </c>
      <c r="M54" s="19">
        <f t="shared" ref="M54:M99" si="7">K54-L54</f>
        <v>69</v>
      </c>
      <c r="N54" s="23">
        <f t="shared" si="4"/>
        <v>0.53061224489795922</v>
      </c>
      <c r="O54" s="24" t="s">
        <v>498</v>
      </c>
      <c r="P54" s="3"/>
    </row>
    <row r="55" spans="1:16" ht="30" customHeight="1" x14ac:dyDescent="0.45">
      <c r="A55" t="s">
        <v>501</v>
      </c>
      <c r="B55" s="47">
        <v>54</v>
      </c>
      <c r="C55" s="7" t="s">
        <v>72</v>
      </c>
      <c r="D55" s="8" t="s">
        <v>478</v>
      </c>
      <c r="E55" s="30">
        <v>335</v>
      </c>
      <c r="F55" s="30">
        <v>70</v>
      </c>
      <c r="G55" s="30">
        <v>10</v>
      </c>
      <c r="H55" s="30">
        <v>45</v>
      </c>
      <c r="I55" s="30">
        <v>3</v>
      </c>
      <c r="J55" s="30">
        <v>0</v>
      </c>
      <c r="K55" s="29">
        <f t="shared" si="6"/>
        <v>207</v>
      </c>
      <c r="L55" s="29">
        <v>110</v>
      </c>
      <c r="M55" s="29">
        <f t="shared" si="7"/>
        <v>97</v>
      </c>
      <c r="N55" s="23">
        <f t="shared" si="4"/>
        <v>0.53140096618357491</v>
      </c>
      <c r="O55" s="24" t="s">
        <v>498</v>
      </c>
      <c r="P55" s="3"/>
    </row>
    <row r="56" spans="1:16" ht="30" customHeight="1" x14ac:dyDescent="0.45">
      <c r="A56" t="s">
        <v>501</v>
      </c>
      <c r="B56" s="47">
        <v>55</v>
      </c>
      <c r="C56" s="7" t="s">
        <v>1077</v>
      </c>
      <c r="D56" s="8" t="s">
        <v>1082</v>
      </c>
      <c r="E56" s="18">
        <f>50+20</f>
        <v>70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9">
        <f t="shared" si="6"/>
        <v>70</v>
      </c>
      <c r="L56" s="19">
        <v>38</v>
      </c>
      <c r="M56" s="19">
        <f t="shared" si="7"/>
        <v>32</v>
      </c>
      <c r="N56" s="23">
        <f t="shared" si="4"/>
        <v>0.54285714285714282</v>
      </c>
      <c r="O56" s="24" t="s">
        <v>498</v>
      </c>
      <c r="P56" s="3"/>
    </row>
    <row r="57" spans="1:16" ht="30" customHeight="1" x14ac:dyDescent="0.45">
      <c r="A57" t="s">
        <v>501</v>
      </c>
      <c r="B57" s="47">
        <v>56</v>
      </c>
      <c r="C57" s="7" t="s">
        <v>64</v>
      </c>
      <c r="D57" s="8" t="s">
        <v>65</v>
      </c>
      <c r="E57" s="18">
        <v>229</v>
      </c>
      <c r="F57" s="18">
        <v>40</v>
      </c>
      <c r="G57" s="18">
        <v>8</v>
      </c>
      <c r="H57" s="18">
        <v>15</v>
      </c>
      <c r="I57" s="18">
        <v>3</v>
      </c>
      <c r="J57" s="18">
        <v>0</v>
      </c>
      <c r="K57" s="19">
        <f t="shared" si="6"/>
        <v>163</v>
      </c>
      <c r="L57" s="19">
        <v>90</v>
      </c>
      <c r="M57" s="19">
        <f t="shared" si="7"/>
        <v>73</v>
      </c>
      <c r="N57" s="23">
        <f t="shared" si="4"/>
        <v>0.55214723926380371</v>
      </c>
      <c r="O57" s="24" t="s">
        <v>498</v>
      </c>
      <c r="P57" s="3"/>
    </row>
    <row r="58" spans="1:16" ht="30" customHeight="1" x14ac:dyDescent="0.45">
      <c r="A58" t="s">
        <v>501</v>
      </c>
      <c r="B58" s="47">
        <v>57</v>
      </c>
      <c r="C58" s="7" t="s">
        <v>57</v>
      </c>
      <c r="D58" s="8" t="s">
        <v>58</v>
      </c>
      <c r="E58" s="30">
        <v>329</v>
      </c>
      <c r="F58" s="30">
        <v>80</v>
      </c>
      <c r="G58" s="30">
        <v>10</v>
      </c>
      <c r="H58" s="30">
        <v>30</v>
      </c>
      <c r="I58" s="30">
        <v>1</v>
      </c>
      <c r="J58" s="30">
        <v>0</v>
      </c>
      <c r="K58" s="29">
        <f t="shared" si="6"/>
        <v>208</v>
      </c>
      <c r="L58" s="29">
        <v>116</v>
      </c>
      <c r="M58" s="29">
        <f t="shared" si="7"/>
        <v>92</v>
      </c>
      <c r="N58" s="23">
        <f t="shared" si="4"/>
        <v>0.55769230769230771</v>
      </c>
      <c r="O58" s="24" t="s">
        <v>498</v>
      </c>
      <c r="P58" s="3"/>
    </row>
    <row r="59" spans="1:16" ht="30" customHeight="1" x14ac:dyDescent="0.45">
      <c r="A59" t="s">
        <v>501</v>
      </c>
      <c r="B59" s="47">
        <v>58</v>
      </c>
      <c r="C59" s="7" t="s">
        <v>859</v>
      </c>
      <c r="D59" s="8" t="s">
        <v>870</v>
      </c>
      <c r="E59" s="30">
        <v>50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29">
        <v>50</v>
      </c>
      <c r="L59" s="29">
        <v>28</v>
      </c>
      <c r="M59" s="29">
        <f t="shared" si="7"/>
        <v>22</v>
      </c>
      <c r="N59" s="23">
        <f t="shared" si="4"/>
        <v>0.56000000000000005</v>
      </c>
      <c r="O59" s="24" t="s">
        <v>498</v>
      </c>
      <c r="P59" s="3"/>
    </row>
    <row r="60" spans="1:16" ht="30" customHeight="1" x14ac:dyDescent="0.45">
      <c r="A60" t="s">
        <v>501</v>
      </c>
      <c r="B60" s="47">
        <v>59</v>
      </c>
      <c r="C60" s="7" t="s">
        <v>90</v>
      </c>
      <c r="D60" s="8" t="s">
        <v>91</v>
      </c>
      <c r="E60" s="30">
        <v>95</v>
      </c>
      <c r="F60" s="30">
        <v>20</v>
      </c>
      <c r="G60" s="30">
        <v>6</v>
      </c>
      <c r="H60" s="30">
        <v>10</v>
      </c>
      <c r="I60" s="30">
        <v>1</v>
      </c>
      <c r="J60" s="30">
        <v>0</v>
      </c>
      <c r="K60" s="29">
        <f>E60-F60-G60-H60-I60-J60</f>
        <v>58</v>
      </c>
      <c r="L60" s="29">
        <v>33</v>
      </c>
      <c r="M60" s="29">
        <f t="shared" si="7"/>
        <v>25</v>
      </c>
      <c r="N60" s="23">
        <f t="shared" si="4"/>
        <v>0.56896551724137934</v>
      </c>
      <c r="O60" s="24" t="s">
        <v>498</v>
      </c>
      <c r="P60" s="3"/>
    </row>
    <row r="61" spans="1:16" ht="30" customHeight="1" x14ac:dyDescent="0.45">
      <c r="A61" t="s">
        <v>501</v>
      </c>
      <c r="B61" s="47">
        <v>60</v>
      </c>
      <c r="C61" s="7" t="s">
        <v>53</v>
      </c>
      <c r="D61" s="8" t="s">
        <v>54</v>
      </c>
      <c r="E61" s="30">
        <f>249+40+30+30</f>
        <v>349</v>
      </c>
      <c r="F61" s="18">
        <v>110</v>
      </c>
      <c r="G61" s="18">
        <v>10</v>
      </c>
      <c r="H61" s="18">
        <f>21+5+5</f>
        <v>31</v>
      </c>
      <c r="I61" s="18">
        <v>3</v>
      </c>
      <c r="J61" s="18">
        <v>0</v>
      </c>
      <c r="K61" s="19">
        <f>97+40+30+30</f>
        <v>197</v>
      </c>
      <c r="L61" s="19">
        <v>113</v>
      </c>
      <c r="M61" s="19">
        <f t="shared" si="7"/>
        <v>84</v>
      </c>
      <c r="N61" s="23">
        <f t="shared" si="4"/>
        <v>0.57360406091370564</v>
      </c>
      <c r="O61" s="24" t="s">
        <v>498</v>
      </c>
      <c r="P61" s="3"/>
    </row>
    <row r="62" spans="1:16" ht="30" customHeight="1" x14ac:dyDescent="0.45">
      <c r="A62" t="s">
        <v>501</v>
      </c>
      <c r="B62" s="47">
        <v>61</v>
      </c>
      <c r="C62" s="7" t="s">
        <v>34</v>
      </c>
      <c r="D62" s="8" t="s">
        <v>910</v>
      </c>
      <c r="E62" s="30">
        <v>327</v>
      </c>
      <c r="F62" s="30">
        <v>113</v>
      </c>
      <c r="G62" s="30">
        <v>8</v>
      </c>
      <c r="H62" s="30">
        <v>21</v>
      </c>
      <c r="I62" s="30">
        <v>0</v>
      </c>
      <c r="J62" s="30">
        <v>0</v>
      </c>
      <c r="K62" s="29">
        <v>90</v>
      </c>
      <c r="L62" s="29">
        <v>53</v>
      </c>
      <c r="M62" s="29">
        <f t="shared" si="7"/>
        <v>37</v>
      </c>
      <c r="N62" s="23">
        <f t="shared" si="4"/>
        <v>0.58888888888888891</v>
      </c>
      <c r="O62" s="24" t="s">
        <v>498</v>
      </c>
      <c r="P62" s="3"/>
    </row>
    <row r="63" spans="1:16" ht="30" customHeight="1" x14ac:dyDescent="0.45">
      <c r="A63" t="s">
        <v>501</v>
      </c>
      <c r="B63" s="47">
        <v>62</v>
      </c>
      <c r="C63" s="7" t="s">
        <v>60</v>
      </c>
      <c r="D63" s="8" t="s">
        <v>61</v>
      </c>
      <c r="E63" s="30">
        <f>250+40+40+30</f>
        <v>360</v>
      </c>
      <c r="F63" s="18">
        <v>110</v>
      </c>
      <c r="G63" s="18">
        <v>10</v>
      </c>
      <c r="H63" s="18">
        <v>30</v>
      </c>
      <c r="I63" s="18">
        <v>2</v>
      </c>
      <c r="J63" s="18">
        <v>0</v>
      </c>
      <c r="K63" s="19">
        <f>E63-F63-G63-H63-I63-J63</f>
        <v>208</v>
      </c>
      <c r="L63" s="19">
        <v>127</v>
      </c>
      <c r="M63" s="19">
        <f t="shared" si="7"/>
        <v>81</v>
      </c>
      <c r="N63" s="23">
        <f t="shared" si="4"/>
        <v>0.61057692307692313</v>
      </c>
      <c r="O63" s="24" t="s">
        <v>498</v>
      </c>
      <c r="P63" s="3"/>
    </row>
    <row r="64" spans="1:16" ht="30" customHeight="1" x14ac:dyDescent="0.45">
      <c r="A64" t="s">
        <v>501</v>
      </c>
      <c r="B64" s="47">
        <v>63</v>
      </c>
      <c r="C64" s="7" t="s">
        <v>381</v>
      </c>
      <c r="D64" s="9" t="s">
        <v>382</v>
      </c>
      <c r="E64" s="18">
        <f>110+10+20</f>
        <v>140</v>
      </c>
      <c r="F64" s="18">
        <v>20</v>
      </c>
      <c r="G64" s="18">
        <v>0</v>
      </c>
      <c r="H64" s="18">
        <f>0+10+4</f>
        <v>14</v>
      </c>
      <c r="I64" s="18">
        <v>0</v>
      </c>
      <c r="J64" s="18">
        <v>0</v>
      </c>
      <c r="K64" s="19">
        <f>E64-F64-G64-H64-I64-J64</f>
        <v>106</v>
      </c>
      <c r="L64" s="19">
        <v>65</v>
      </c>
      <c r="M64" s="19">
        <f t="shared" si="7"/>
        <v>41</v>
      </c>
      <c r="N64" s="23">
        <f t="shared" si="4"/>
        <v>0.6132075471698113</v>
      </c>
      <c r="O64" s="24" t="s">
        <v>498</v>
      </c>
      <c r="P64" s="3"/>
    </row>
    <row r="65" spans="1:16" ht="30" customHeight="1" x14ac:dyDescent="0.45">
      <c r="A65" t="s">
        <v>501</v>
      </c>
      <c r="B65" s="47">
        <v>64</v>
      </c>
      <c r="C65" s="7" t="s">
        <v>896</v>
      </c>
      <c r="D65" s="8" t="s">
        <v>909</v>
      </c>
      <c r="E65" s="18">
        <v>40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9">
        <v>40</v>
      </c>
      <c r="L65" s="19">
        <v>25</v>
      </c>
      <c r="M65" s="19">
        <f t="shared" si="7"/>
        <v>15</v>
      </c>
      <c r="N65" s="23">
        <f t="shared" si="4"/>
        <v>0.625</v>
      </c>
      <c r="O65" s="24" t="s">
        <v>498</v>
      </c>
      <c r="P65" s="3"/>
    </row>
    <row r="66" spans="1:16" ht="30" customHeight="1" x14ac:dyDescent="0.45">
      <c r="A66" t="s">
        <v>501</v>
      </c>
      <c r="B66" s="47">
        <v>65</v>
      </c>
      <c r="C66" s="7" t="s">
        <v>901</v>
      </c>
      <c r="D66" s="8" t="s">
        <v>915</v>
      </c>
      <c r="E66" s="18">
        <v>30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9">
        <v>30</v>
      </c>
      <c r="L66" s="19">
        <v>19</v>
      </c>
      <c r="M66" s="19">
        <f t="shared" si="7"/>
        <v>11</v>
      </c>
      <c r="N66" s="23">
        <f t="shared" si="4"/>
        <v>0.6333333333333333</v>
      </c>
      <c r="O66" s="24" t="s">
        <v>498</v>
      </c>
      <c r="P66" s="3"/>
    </row>
    <row r="67" spans="1:16" ht="30" customHeight="1" x14ac:dyDescent="0.45">
      <c r="A67" t="s">
        <v>501</v>
      </c>
      <c r="B67" s="47">
        <v>66</v>
      </c>
      <c r="C67" s="7" t="s">
        <v>396</v>
      </c>
      <c r="D67" s="8" t="s">
        <v>228</v>
      </c>
      <c r="E67" s="18">
        <f>166+20</f>
        <v>186</v>
      </c>
      <c r="F67" s="18">
        <v>40</v>
      </c>
      <c r="G67" s="18">
        <v>0</v>
      </c>
      <c r="H67" s="18">
        <v>20</v>
      </c>
      <c r="I67" s="18">
        <v>0</v>
      </c>
      <c r="J67" s="18">
        <v>0</v>
      </c>
      <c r="K67" s="19">
        <f>E67-F67-G67-H67-I67-J67</f>
        <v>126</v>
      </c>
      <c r="L67" s="19">
        <v>80</v>
      </c>
      <c r="M67" s="19">
        <f t="shared" si="7"/>
        <v>46</v>
      </c>
      <c r="N67" s="23">
        <f t="shared" si="4"/>
        <v>0.63492063492063489</v>
      </c>
      <c r="O67" s="24" t="s">
        <v>498</v>
      </c>
      <c r="P67" s="3"/>
    </row>
    <row r="68" spans="1:16" ht="30" customHeight="1" x14ac:dyDescent="0.45">
      <c r="A68" t="s">
        <v>501</v>
      </c>
      <c r="B68" s="47">
        <v>67</v>
      </c>
      <c r="C68" s="7" t="s">
        <v>397</v>
      </c>
      <c r="D68" s="8" t="s">
        <v>206</v>
      </c>
      <c r="E68" s="18">
        <f>220+30</f>
        <v>250</v>
      </c>
      <c r="F68" s="18">
        <v>60</v>
      </c>
      <c r="G68" s="18">
        <v>10</v>
      </c>
      <c r="H68" s="18">
        <v>15</v>
      </c>
      <c r="I68" s="18">
        <v>0</v>
      </c>
      <c r="J68" s="18">
        <v>0</v>
      </c>
      <c r="K68" s="19">
        <f>E68-F68-G68-H68-I68-J68</f>
        <v>165</v>
      </c>
      <c r="L68" s="19">
        <v>106</v>
      </c>
      <c r="M68" s="19">
        <f t="shared" si="7"/>
        <v>59</v>
      </c>
      <c r="N68" s="23">
        <f t="shared" si="4"/>
        <v>0.64242424242424245</v>
      </c>
      <c r="O68" s="24" t="s">
        <v>498</v>
      </c>
      <c r="P68" s="3"/>
    </row>
    <row r="69" spans="1:16" ht="30" customHeight="1" x14ac:dyDescent="0.45">
      <c r="A69" t="s">
        <v>501</v>
      </c>
      <c r="B69" s="47">
        <v>68</v>
      </c>
      <c r="C69" s="7" t="s">
        <v>49</v>
      </c>
      <c r="D69" s="8" t="s">
        <v>50</v>
      </c>
      <c r="E69" s="18">
        <f>100+30</f>
        <v>130</v>
      </c>
      <c r="F69" s="18">
        <v>40</v>
      </c>
      <c r="G69" s="18">
        <v>10</v>
      </c>
      <c r="H69" s="18">
        <f>10+5</f>
        <v>15</v>
      </c>
      <c r="I69" s="18">
        <v>3</v>
      </c>
      <c r="J69" s="18">
        <v>0</v>
      </c>
      <c r="K69" s="19">
        <f>E69-F69-G69-H69-I69-J69</f>
        <v>62</v>
      </c>
      <c r="L69" s="19">
        <v>40</v>
      </c>
      <c r="M69" s="19">
        <f t="shared" si="7"/>
        <v>22</v>
      </c>
      <c r="N69" s="23">
        <f t="shared" ref="N69:N99" si="8">L69/K69</f>
        <v>0.64516129032258063</v>
      </c>
      <c r="O69" s="24" t="s">
        <v>498</v>
      </c>
      <c r="P69" s="3"/>
    </row>
    <row r="70" spans="1:16" ht="30" customHeight="1" x14ac:dyDescent="0.45">
      <c r="A70" t="s">
        <v>501</v>
      </c>
      <c r="B70" s="47">
        <v>69</v>
      </c>
      <c r="C70" s="7" t="s">
        <v>383</v>
      </c>
      <c r="D70" s="8" t="s">
        <v>384</v>
      </c>
      <c r="E70" s="18">
        <f>169+10+40</f>
        <v>219</v>
      </c>
      <c r="F70" s="18">
        <v>78</v>
      </c>
      <c r="G70" s="18">
        <v>0</v>
      </c>
      <c r="H70" s="18">
        <v>18</v>
      </c>
      <c r="I70" s="18">
        <v>0</v>
      </c>
      <c r="J70" s="18">
        <v>0</v>
      </c>
      <c r="K70" s="19">
        <f>E70-F70-G70-H70-I70-J70</f>
        <v>123</v>
      </c>
      <c r="L70" s="19">
        <v>81</v>
      </c>
      <c r="M70" s="19">
        <f t="shared" si="7"/>
        <v>42</v>
      </c>
      <c r="N70" s="23">
        <f t="shared" si="8"/>
        <v>0.65853658536585369</v>
      </c>
      <c r="O70" s="24" t="s">
        <v>498</v>
      </c>
      <c r="P70" s="3"/>
    </row>
    <row r="71" spans="1:16" ht="30" customHeight="1" x14ac:dyDescent="0.45">
      <c r="A71" t="s">
        <v>501</v>
      </c>
      <c r="B71" s="47">
        <v>70</v>
      </c>
      <c r="C71" s="7" t="s">
        <v>897</v>
      </c>
      <c r="D71" s="8" t="s">
        <v>911</v>
      </c>
      <c r="E71" s="18">
        <v>60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9">
        <v>60</v>
      </c>
      <c r="L71" s="19">
        <v>40</v>
      </c>
      <c r="M71" s="19">
        <f t="shared" si="7"/>
        <v>20</v>
      </c>
      <c r="N71" s="23">
        <f t="shared" si="8"/>
        <v>0.66666666666666663</v>
      </c>
      <c r="O71" s="24" t="s">
        <v>498</v>
      </c>
      <c r="P71" s="3"/>
    </row>
    <row r="72" spans="1:16" ht="30" customHeight="1" x14ac:dyDescent="0.45">
      <c r="A72" t="s">
        <v>501</v>
      </c>
      <c r="B72" s="47">
        <v>71</v>
      </c>
      <c r="C72" s="7" t="s">
        <v>43</v>
      </c>
      <c r="D72" s="8" t="s">
        <v>44</v>
      </c>
      <c r="E72" s="18">
        <v>302</v>
      </c>
      <c r="F72" s="18">
        <v>85</v>
      </c>
      <c r="G72" s="18">
        <v>10</v>
      </c>
      <c r="H72" s="18">
        <v>15</v>
      </c>
      <c r="I72" s="18">
        <v>3</v>
      </c>
      <c r="J72" s="18">
        <v>0</v>
      </c>
      <c r="K72" s="19">
        <f t="shared" ref="K72:K82" si="9">E72-F72-G72-H72-I72-J72</f>
        <v>189</v>
      </c>
      <c r="L72" s="19">
        <v>129</v>
      </c>
      <c r="M72" s="19">
        <f t="shared" si="7"/>
        <v>60</v>
      </c>
      <c r="N72" s="23">
        <f t="shared" si="8"/>
        <v>0.68253968253968256</v>
      </c>
      <c r="O72" s="24" t="s">
        <v>498</v>
      </c>
      <c r="P72" s="3"/>
    </row>
    <row r="73" spans="1:16" ht="30" customHeight="1" x14ac:dyDescent="0.45">
      <c r="A73" t="s">
        <v>501</v>
      </c>
      <c r="B73" s="47">
        <v>72</v>
      </c>
      <c r="C73" s="7" t="s">
        <v>380</v>
      </c>
      <c r="D73" s="8" t="s">
        <v>35</v>
      </c>
      <c r="E73" s="18">
        <f>309+30</f>
        <v>339</v>
      </c>
      <c r="F73" s="18">
        <f>80+20</f>
        <v>100</v>
      </c>
      <c r="G73" s="18">
        <v>0</v>
      </c>
      <c r="H73" s="18">
        <v>31</v>
      </c>
      <c r="I73" s="18">
        <v>0</v>
      </c>
      <c r="J73" s="18">
        <v>0</v>
      </c>
      <c r="K73" s="19">
        <f t="shared" si="9"/>
        <v>208</v>
      </c>
      <c r="L73" s="19">
        <v>142</v>
      </c>
      <c r="M73" s="19">
        <f t="shared" si="7"/>
        <v>66</v>
      </c>
      <c r="N73" s="23">
        <f t="shared" si="8"/>
        <v>0.68269230769230771</v>
      </c>
      <c r="O73" s="24" t="s">
        <v>498</v>
      </c>
      <c r="P73" s="3"/>
    </row>
    <row r="74" spans="1:16" ht="30" customHeight="1" x14ac:dyDescent="0.45">
      <c r="A74" t="s">
        <v>501</v>
      </c>
      <c r="B74" s="47">
        <v>73</v>
      </c>
      <c r="C74" s="7" t="s">
        <v>378</v>
      </c>
      <c r="D74" s="8" t="s">
        <v>379</v>
      </c>
      <c r="E74" s="18">
        <v>747</v>
      </c>
      <c r="F74" s="18">
        <v>285</v>
      </c>
      <c r="G74" s="18">
        <v>10</v>
      </c>
      <c r="H74" s="18">
        <v>31</v>
      </c>
      <c r="I74" s="18">
        <v>0</v>
      </c>
      <c r="J74" s="18">
        <v>0</v>
      </c>
      <c r="K74" s="19">
        <f t="shared" si="9"/>
        <v>421</v>
      </c>
      <c r="L74" s="19">
        <v>289</v>
      </c>
      <c r="M74" s="19">
        <f t="shared" si="7"/>
        <v>132</v>
      </c>
      <c r="N74" s="23">
        <f t="shared" si="8"/>
        <v>0.68646080760095007</v>
      </c>
      <c r="O74" s="24" t="s">
        <v>498</v>
      </c>
      <c r="P74" s="3"/>
    </row>
    <row r="75" spans="1:16" ht="30" customHeight="1" x14ac:dyDescent="0.45">
      <c r="A75" t="s">
        <v>501</v>
      </c>
      <c r="B75" s="47">
        <v>74</v>
      </c>
      <c r="C75" s="7" t="s">
        <v>51</v>
      </c>
      <c r="D75" s="8" t="s">
        <v>52</v>
      </c>
      <c r="E75" s="18">
        <f>248+40+30+30</f>
        <v>348</v>
      </c>
      <c r="F75" s="18">
        <v>100</v>
      </c>
      <c r="G75" s="18">
        <v>13</v>
      </c>
      <c r="H75" s="18">
        <v>21</v>
      </c>
      <c r="I75" s="18">
        <v>3</v>
      </c>
      <c r="J75" s="18">
        <v>0</v>
      </c>
      <c r="K75" s="19">
        <f t="shared" si="9"/>
        <v>211</v>
      </c>
      <c r="L75" s="19">
        <v>145</v>
      </c>
      <c r="M75" s="19">
        <f t="shared" si="7"/>
        <v>66</v>
      </c>
      <c r="N75" s="23">
        <f t="shared" si="8"/>
        <v>0.6872037914691943</v>
      </c>
      <c r="O75" s="24" t="s">
        <v>498</v>
      </c>
      <c r="P75" s="3"/>
    </row>
    <row r="76" spans="1:16" ht="30" customHeight="1" x14ac:dyDescent="0.45">
      <c r="A76" t="s">
        <v>501</v>
      </c>
      <c r="B76" s="47">
        <v>75</v>
      </c>
      <c r="C76" s="7" t="s">
        <v>20</v>
      </c>
      <c r="D76" s="8" t="s">
        <v>21</v>
      </c>
      <c r="E76" s="18">
        <f>355+30</f>
        <v>385</v>
      </c>
      <c r="F76" s="18">
        <v>80</v>
      </c>
      <c r="G76" s="18">
        <v>10</v>
      </c>
      <c r="H76" s="18">
        <v>30</v>
      </c>
      <c r="I76" s="18">
        <v>2</v>
      </c>
      <c r="J76" s="18">
        <v>0</v>
      </c>
      <c r="K76" s="19">
        <f t="shared" si="9"/>
        <v>263</v>
      </c>
      <c r="L76" s="19">
        <v>185</v>
      </c>
      <c r="M76" s="19">
        <f t="shared" si="7"/>
        <v>78</v>
      </c>
      <c r="N76" s="23">
        <f t="shared" si="8"/>
        <v>0.70342205323193918</v>
      </c>
      <c r="O76" s="24" t="s">
        <v>498</v>
      </c>
      <c r="P76" s="3"/>
    </row>
    <row r="77" spans="1:16" ht="30" customHeight="1" x14ac:dyDescent="0.45">
      <c r="A77" t="s">
        <v>501</v>
      </c>
      <c r="B77" s="47">
        <v>76</v>
      </c>
      <c r="C77" s="7" t="s">
        <v>377</v>
      </c>
      <c r="D77" s="8" t="s">
        <v>54</v>
      </c>
      <c r="E77" s="18">
        <f>299+30+20+70</f>
        <v>419</v>
      </c>
      <c r="F77" s="18">
        <v>150</v>
      </c>
      <c r="G77" s="18">
        <v>10</v>
      </c>
      <c r="H77" s="18">
        <v>31</v>
      </c>
      <c r="I77" s="18">
        <v>0</v>
      </c>
      <c r="J77" s="18">
        <v>0</v>
      </c>
      <c r="K77" s="19">
        <f t="shared" si="9"/>
        <v>228</v>
      </c>
      <c r="L77" s="19">
        <v>163</v>
      </c>
      <c r="M77" s="19">
        <f t="shared" si="7"/>
        <v>65</v>
      </c>
      <c r="N77" s="23">
        <f t="shared" si="8"/>
        <v>0.71491228070175439</v>
      </c>
      <c r="O77" s="24" t="s">
        <v>498</v>
      </c>
      <c r="P77" s="3"/>
    </row>
    <row r="78" spans="1:16" ht="30" customHeight="1" x14ac:dyDescent="0.45">
      <c r="A78" t="s">
        <v>501</v>
      </c>
      <c r="B78" s="47">
        <v>77</v>
      </c>
      <c r="C78" s="7" t="s">
        <v>16</v>
      </c>
      <c r="D78" s="8" t="s">
        <v>17</v>
      </c>
      <c r="E78" s="18">
        <f>399+20</f>
        <v>419</v>
      </c>
      <c r="F78" s="18">
        <v>180</v>
      </c>
      <c r="G78" s="18">
        <f>20+5</f>
        <v>25</v>
      </c>
      <c r="H78" s="18">
        <v>51</v>
      </c>
      <c r="I78" s="18">
        <v>3</v>
      </c>
      <c r="J78" s="18">
        <v>0</v>
      </c>
      <c r="K78" s="19">
        <f t="shared" si="9"/>
        <v>160</v>
      </c>
      <c r="L78" s="19">
        <v>115</v>
      </c>
      <c r="M78" s="19">
        <f t="shared" si="7"/>
        <v>45</v>
      </c>
      <c r="N78" s="23">
        <f t="shared" si="8"/>
        <v>0.71875</v>
      </c>
      <c r="O78" s="24" t="s">
        <v>498</v>
      </c>
      <c r="P78" s="3"/>
    </row>
    <row r="79" spans="1:16" ht="30" customHeight="1" x14ac:dyDescent="0.45">
      <c r="A79" t="s">
        <v>501</v>
      </c>
      <c r="B79" s="47">
        <v>78</v>
      </c>
      <c r="C79" s="7" t="s">
        <v>32</v>
      </c>
      <c r="D79" s="8" t="s">
        <v>33</v>
      </c>
      <c r="E79" s="30">
        <v>470</v>
      </c>
      <c r="F79" s="18">
        <v>140</v>
      </c>
      <c r="G79" s="18">
        <v>20</v>
      </c>
      <c r="H79" s="18">
        <v>30</v>
      </c>
      <c r="I79" s="18">
        <v>2</v>
      </c>
      <c r="J79" s="18">
        <v>0</v>
      </c>
      <c r="K79" s="19">
        <f t="shared" si="9"/>
        <v>278</v>
      </c>
      <c r="L79" s="19">
        <v>203</v>
      </c>
      <c r="M79" s="19">
        <f t="shared" si="7"/>
        <v>75</v>
      </c>
      <c r="N79" s="23">
        <f t="shared" si="8"/>
        <v>0.73021582733812951</v>
      </c>
      <c r="O79" s="24" t="s">
        <v>498</v>
      </c>
      <c r="P79" s="3"/>
    </row>
    <row r="80" spans="1:16" ht="30" customHeight="1" x14ac:dyDescent="0.45">
      <c r="A80" t="s">
        <v>501</v>
      </c>
      <c r="B80" s="47">
        <v>79</v>
      </c>
      <c r="C80" s="7" t="s">
        <v>47</v>
      </c>
      <c r="D80" s="8" t="s">
        <v>48</v>
      </c>
      <c r="E80" s="18">
        <f>100+20+10</f>
        <v>130</v>
      </c>
      <c r="F80" s="18">
        <v>40</v>
      </c>
      <c r="G80" s="18">
        <v>10</v>
      </c>
      <c r="H80" s="18">
        <v>10</v>
      </c>
      <c r="I80" s="18">
        <v>3</v>
      </c>
      <c r="J80" s="18">
        <v>0</v>
      </c>
      <c r="K80" s="19">
        <f t="shared" si="9"/>
        <v>67</v>
      </c>
      <c r="L80" s="19">
        <v>49</v>
      </c>
      <c r="M80" s="19">
        <f t="shared" si="7"/>
        <v>18</v>
      </c>
      <c r="N80" s="23">
        <f t="shared" si="8"/>
        <v>0.73134328358208955</v>
      </c>
      <c r="O80" s="24" t="s">
        <v>498</v>
      </c>
      <c r="P80" s="3"/>
    </row>
    <row r="81" spans="1:16" ht="30" customHeight="1" x14ac:dyDescent="0.45">
      <c r="A81" t="s">
        <v>501</v>
      </c>
      <c r="B81" s="47">
        <v>80</v>
      </c>
      <c r="C81" s="7" t="s">
        <v>68</v>
      </c>
      <c r="D81" s="8" t="s">
        <v>69</v>
      </c>
      <c r="E81" s="18">
        <f>490+20</f>
        <v>510</v>
      </c>
      <c r="F81" s="18">
        <f>150+20+40</f>
        <v>210</v>
      </c>
      <c r="G81" s="18">
        <v>0</v>
      </c>
      <c r="H81" s="18">
        <v>21</v>
      </c>
      <c r="I81" s="18">
        <v>1</v>
      </c>
      <c r="J81" s="18">
        <v>0</v>
      </c>
      <c r="K81" s="19">
        <f t="shared" si="9"/>
        <v>278</v>
      </c>
      <c r="L81" s="19">
        <v>207</v>
      </c>
      <c r="M81" s="19">
        <f t="shared" si="7"/>
        <v>71</v>
      </c>
      <c r="N81" s="23">
        <f t="shared" si="8"/>
        <v>0.74460431654676262</v>
      </c>
      <c r="O81" s="24" t="s">
        <v>498</v>
      </c>
      <c r="P81" s="3"/>
    </row>
    <row r="82" spans="1:16" ht="30" customHeight="1" x14ac:dyDescent="0.45">
      <c r="A82" t="s">
        <v>501</v>
      </c>
      <c r="B82" s="47">
        <v>81</v>
      </c>
      <c r="C82" s="7" t="s">
        <v>75</v>
      </c>
      <c r="D82" s="8" t="s">
        <v>76</v>
      </c>
      <c r="E82" s="18">
        <f>99+20+10+20</f>
        <v>149</v>
      </c>
      <c r="F82" s="18">
        <v>40</v>
      </c>
      <c r="G82" s="18">
        <v>8</v>
      </c>
      <c r="H82" s="18">
        <v>30</v>
      </c>
      <c r="I82" s="18">
        <v>3</v>
      </c>
      <c r="J82" s="18">
        <v>0</v>
      </c>
      <c r="K82" s="19">
        <f t="shared" si="9"/>
        <v>68</v>
      </c>
      <c r="L82" s="19">
        <v>52</v>
      </c>
      <c r="M82" s="19">
        <f t="shared" si="7"/>
        <v>16</v>
      </c>
      <c r="N82" s="25">
        <f t="shared" si="8"/>
        <v>0.76470588235294112</v>
      </c>
      <c r="O82" s="26" t="s">
        <v>495</v>
      </c>
      <c r="P82" s="3"/>
    </row>
    <row r="83" spans="1:16" ht="30" customHeight="1" x14ac:dyDescent="0.45">
      <c r="A83" t="s">
        <v>501</v>
      </c>
      <c r="B83" s="47">
        <v>82</v>
      </c>
      <c r="C83" s="7" t="s">
        <v>868</v>
      </c>
      <c r="D83" s="8" t="s">
        <v>879</v>
      </c>
      <c r="E83" s="18">
        <v>30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9">
        <v>30</v>
      </c>
      <c r="L83" s="19">
        <v>23</v>
      </c>
      <c r="M83" s="19">
        <f t="shared" si="7"/>
        <v>7</v>
      </c>
      <c r="N83" s="25">
        <f t="shared" si="8"/>
        <v>0.76666666666666672</v>
      </c>
      <c r="O83" s="26" t="s">
        <v>495</v>
      </c>
      <c r="P83" s="3"/>
    </row>
    <row r="84" spans="1:16" ht="30" customHeight="1" x14ac:dyDescent="0.45">
      <c r="A84" t="s">
        <v>501</v>
      </c>
      <c r="B84" s="47">
        <v>83</v>
      </c>
      <c r="C84" s="7" t="s">
        <v>59</v>
      </c>
      <c r="D84" s="8" t="s">
        <v>58</v>
      </c>
      <c r="E84" s="18">
        <v>252</v>
      </c>
      <c r="F84" s="18">
        <f>80+10</f>
        <v>90</v>
      </c>
      <c r="G84" s="18">
        <f>10+3</f>
        <v>13</v>
      </c>
      <c r="H84" s="18">
        <v>30</v>
      </c>
      <c r="I84" s="18">
        <v>3</v>
      </c>
      <c r="J84" s="18">
        <v>0</v>
      </c>
      <c r="K84" s="19">
        <f>E84-F84-G84-H84-I84-J84</f>
        <v>116</v>
      </c>
      <c r="L84" s="19">
        <v>90</v>
      </c>
      <c r="M84" s="19">
        <f t="shared" si="7"/>
        <v>26</v>
      </c>
      <c r="N84" s="25">
        <f t="shared" si="8"/>
        <v>0.77586206896551724</v>
      </c>
      <c r="O84" s="26" t="s">
        <v>495</v>
      </c>
      <c r="P84" s="3"/>
    </row>
    <row r="85" spans="1:16" ht="30" customHeight="1" x14ac:dyDescent="0.45">
      <c r="A85" t="s">
        <v>501</v>
      </c>
      <c r="B85" s="47">
        <v>84</v>
      </c>
      <c r="C85" s="7" t="s">
        <v>866</v>
      </c>
      <c r="D85" s="8" t="s">
        <v>877</v>
      </c>
      <c r="E85" s="18">
        <v>50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9">
        <v>50</v>
      </c>
      <c r="L85" s="19">
        <v>42</v>
      </c>
      <c r="M85" s="19">
        <f t="shared" si="7"/>
        <v>8</v>
      </c>
      <c r="N85" s="25">
        <f t="shared" si="8"/>
        <v>0.84</v>
      </c>
      <c r="O85" s="26" t="s">
        <v>495</v>
      </c>
      <c r="P85" s="3"/>
    </row>
    <row r="86" spans="1:16" ht="30" customHeight="1" x14ac:dyDescent="0.45">
      <c r="A86" t="s">
        <v>501</v>
      </c>
      <c r="B86" s="47">
        <v>85</v>
      </c>
      <c r="C86" s="7" t="s">
        <v>729</v>
      </c>
      <c r="D86" s="8" t="s">
        <v>169</v>
      </c>
      <c r="E86" s="18">
        <v>30</v>
      </c>
      <c r="F86" s="18">
        <f>0+10</f>
        <v>10</v>
      </c>
      <c r="G86" s="18">
        <v>0</v>
      </c>
      <c r="H86" s="18">
        <v>5</v>
      </c>
      <c r="I86" s="18">
        <v>0</v>
      </c>
      <c r="J86" s="18">
        <v>0</v>
      </c>
      <c r="K86" s="19">
        <f>E86-F86-G86-H86-I86-J86</f>
        <v>15</v>
      </c>
      <c r="L86" s="19">
        <v>13</v>
      </c>
      <c r="M86" s="19">
        <f t="shared" si="7"/>
        <v>2</v>
      </c>
      <c r="N86" s="25">
        <f t="shared" si="8"/>
        <v>0.8666666666666667</v>
      </c>
      <c r="O86" s="26" t="s">
        <v>495</v>
      </c>
      <c r="P86" s="3"/>
    </row>
    <row r="87" spans="1:16" ht="30" customHeight="1" x14ac:dyDescent="0.45">
      <c r="A87" t="s">
        <v>501</v>
      </c>
      <c r="B87" s="47">
        <v>86</v>
      </c>
      <c r="C87" s="7" t="s">
        <v>375</v>
      </c>
      <c r="D87" s="8" t="s">
        <v>376</v>
      </c>
      <c r="E87" s="18">
        <f>1070+20+50</f>
        <v>1140</v>
      </c>
      <c r="F87" s="18">
        <f>415+20+80</f>
        <v>515</v>
      </c>
      <c r="G87" s="18">
        <v>10</v>
      </c>
      <c r="H87" s="18">
        <f>51+30+10+30+50</f>
        <v>171</v>
      </c>
      <c r="I87" s="18">
        <v>0</v>
      </c>
      <c r="J87" s="18">
        <v>0</v>
      </c>
      <c r="K87" s="19">
        <f>E87-F87-G87-H87-I87-J87</f>
        <v>444</v>
      </c>
      <c r="L87" s="19">
        <v>389</v>
      </c>
      <c r="M87" s="19">
        <f t="shared" si="7"/>
        <v>55</v>
      </c>
      <c r="N87" s="25">
        <f t="shared" si="8"/>
        <v>0.87612612612612617</v>
      </c>
      <c r="O87" s="26" t="s">
        <v>495</v>
      </c>
      <c r="P87" s="3"/>
    </row>
    <row r="88" spans="1:16" ht="30" customHeight="1" x14ac:dyDescent="0.45">
      <c r="A88" t="s">
        <v>501</v>
      </c>
      <c r="B88" s="47">
        <v>87</v>
      </c>
      <c r="C88" s="7" t="s">
        <v>863</v>
      </c>
      <c r="D88" s="8" t="s">
        <v>874</v>
      </c>
      <c r="E88" s="18">
        <f>20+10</f>
        <v>30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9">
        <v>30</v>
      </c>
      <c r="L88" s="19">
        <v>27</v>
      </c>
      <c r="M88" s="19">
        <f t="shared" si="7"/>
        <v>3</v>
      </c>
      <c r="N88" s="25">
        <f t="shared" si="8"/>
        <v>0.9</v>
      </c>
      <c r="O88" s="26" t="s">
        <v>495</v>
      </c>
      <c r="P88" s="3"/>
    </row>
    <row r="89" spans="1:16" ht="30" customHeight="1" x14ac:dyDescent="0.45">
      <c r="A89" t="s">
        <v>501</v>
      </c>
      <c r="B89" s="47">
        <v>88</v>
      </c>
      <c r="C89" s="7" t="s">
        <v>22</v>
      </c>
      <c r="D89" s="8" t="s">
        <v>23</v>
      </c>
      <c r="E89" s="18">
        <v>130</v>
      </c>
      <c r="F89" s="18">
        <v>40</v>
      </c>
      <c r="G89" s="18">
        <v>10</v>
      </c>
      <c r="H89" s="18">
        <f>10+7</f>
        <v>17</v>
      </c>
      <c r="I89" s="18">
        <v>2</v>
      </c>
      <c r="J89" s="18">
        <v>0</v>
      </c>
      <c r="K89" s="19">
        <f>E89-F89-G89-H89-I89-J89</f>
        <v>61</v>
      </c>
      <c r="L89" s="19">
        <v>61</v>
      </c>
      <c r="M89" s="19">
        <f t="shared" si="7"/>
        <v>0</v>
      </c>
      <c r="N89" s="27">
        <f t="shared" si="8"/>
        <v>1</v>
      </c>
      <c r="O89" s="28" t="s">
        <v>499</v>
      </c>
      <c r="P89" s="3"/>
    </row>
    <row r="90" spans="1:16" ht="30" customHeight="1" x14ac:dyDescent="0.45">
      <c r="A90" t="s">
        <v>501</v>
      </c>
      <c r="B90" s="47">
        <v>89</v>
      </c>
      <c r="C90" s="7" t="s">
        <v>36</v>
      </c>
      <c r="D90" s="8" t="s">
        <v>37</v>
      </c>
      <c r="E90" s="18">
        <v>201</v>
      </c>
      <c r="F90" s="18">
        <f>80+20</f>
        <v>100</v>
      </c>
      <c r="G90" s="18">
        <v>25</v>
      </c>
      <c r="H90" s="18">
        <v>30</v>
      </c>
      <c r="I90" s="18">
        <v>3</v>
      </c>
      <c r="J90" s="18">
        <v>0</v>
      </c>
      <c r="K90" s="19">
        <f>E90-F90-G90-H90-I90-J90</f>
        <v>43</v>
      </c>
      <c r="L90" s="19">
        <v>43</v>
      </c>
      <c r="M90" s="19">
        <f t="shared" si="7"/>
        <v>0</v>
      </c>
      <c r="N90" s="27">
        <f t="shared" si="8"/>
        <v>1</v>
      </c>
      <c r="O90" s="28" t="s">
        <v>499</v>
      </c>
      <c r="P90" s="3"/>
    </row>
    <row r="91" spans="1:16" ht="30" customHeight="1" x14ac:dyDescent="0.45">
      <c r="A91" t="s">
        <v>501</v>
      </c>
      <c r="B91" s="47">
        <v>90</v>
      </c>
      <c r="C91" s="7" t="s">
        <v>864</v>
      </c>
      <c r="D91" s="8" t="s">
        <v>875</v>
      </c>
      <c r="E91" s="18">
        <v>30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9">
        <v>30</v>
      </c>
      <c r="L91" s="19">
        <v>30</v>
      </c>
      <c r="M91" s="19">
        <f t="shared" si="7"/>
        <v>0</v>
      </c>
      <c r="N91" s="27">
        <f t="shared" si="8"/>
        <v>1</v>
      </c>
      <c r="O91" s="28" t="s">
        <v>499</v>
      </c>
      <c r="P91" s="3"/>
    </row>
    <row r="92" spans="1:16" ht="30" customHeight="1" x14ac:dyDescent="0.45">
      <c r="A92" t="s">
        <v>501</v>
      </c>
      <c r="B92" s="47">
        <v>91</v>
      </c>
      <c r="C92" s="7" t="s">
        <v>66</v>
      </c>
      <c r="D92" s="8" t="s">
        <v>67</v>
      </c>
      <c r="E92" s="18">
        <v>102</v>
      </c>
      <c r="F92" s="18">
        <v>40</v>
      </c>
      <c r="G92" s="18">
        <v>10</v>
      </c>
      <c r="H92" s="18">
        <f>10+10</f>
        <v>20</v>
      </c>
      <c r="I92" s="18">
        <v>3</v>
      </c>
      <c r="J92" s="18">
        <v>0</v>
      </c>
      <c r="K92" s="19">
        <f>E92-F92-G92-H92-I92-J92</f>
        <v>29</v>
      </c>
      <c r="L92" s="19">
        <v>29</v>
      </c>
      <c r="M92" s="19">
        <f t="shared" si="7"/>
        <v>0</v>
      </c>
      <c r="N92" s="27">
        <f t="shared" si="8"/>
        <v>1</v>
      </c>
      <c r="O92" s="28" t="s">
        <v>499</v>
      </c>
      <c r="P92" s="3"/>
    </row>
    <row r="93" spans="1:16" ht="30" customHeight="1" x14ac:dyDescent="0.45">
      <c r="A93" t="s">
        <v>501</v>
      </c>
      <c r="B93" s="47">
        <v>92</v>
      </c>
      <c r="C93" s="7" t="s">
        <v>869</v>
      </c>
      <c r="D93" s="8" t="s">
        <v>880</v>
      </c>
      <c r="E93" s="18">
        <v>20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9">
        <v>20</v>
      </c>
      <c r="L93" s="19">
        <v>20</v>
      </c>
      <c r="M93" s="19">
        <f t="shared" si="7"/>
        <v>0</v>
      </c>
      <c r="N93" s="27">
        <f t="shared" si="8"/>
        <v>1</v>
      </c>
      <c r="O93" s="28" t="s">
        <v>499</v>
      </c>
      <c r="P93" s="3"/>
    </row>
    <row r="94" spans="1:16" ht="30" customHeight="1" x14ac:dyDescent="0.45">
      <c r="A94" t="s">
        <v>501</v>
      </c>
      <c r="B94" s="47">
        <v>93</v>
      </c>
      <c r="C94" s="7" t="s">
        <v>867</v>
      </c>
      <c r="D94" s="8" t="s">
        <v>878</v>
      </c>
      <c r="E94" s="18">
        <v>20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9">
        <v>20</v>
      </c>
      <c r="L94" s="19">
        <v>20</v>
      </c>
      <c r="M94" s="19">
        <f t="shared" si="7"/>
        <v>0</v>
      </c>
      <c r="N94" s="27">
        <f t="shared" si="8"/>
        <v>1</v>
      </c>
      <c r="O94" s="28" t="s">
        <v>499</v>
      </c>
      <c r="P94" s="3"/>
    </row>
    <row r="95" spans="1:16" ht="30" customHeight="1" x14ac:dyDescent="0.45">
      <c r="A95" t="s">
        <v>501</v>
      </c>
      <c r="B95" s="47">
        <v>94</v>
      </c>
      <c r="C95" s="7" t="s">
        <v>40</v>
      </c>
      <c r="D95" s="8" t="s">
        <v>41</v>
      </c>
      <c r="E95" s="18">
        <v>150</v>
      </c>
      <c r="F95" s="18">
        <v>70</v>
      </c>
      <c r="G95" s="18">
        <v>10</v>
      </c>
      <c r="H95" s="18">
        <f>20+10</f>
        <v>30</v>
      </c>
      <c r="I95" s="18">
        <v>3</v>
      </c>
      <c r="J95" s="18">
        <v>0</v>
      </c>
      <c r="K95" s="19">
        <f>E95-F95-G95-H95-I95-J95</f>
        <v>37</v>
      </c>
      <c r="L95" s="19">
        <v>37</v>
      </c>
      <c r="M95" s="19">
        <f t="shared" si="7"/>
        <v>0</v>
      </c>
      <c r="N95" s="27">
        <f t="shared" si="8"/>
        <v>1</v>
      </c>
      <c r="O95" s="28" t="s">
        <v>499</v>
      </c>
      <c r="P95" s="3"/>
    </row>
    <row r="96" spans="1:16" ht="30" customHeight="1" x14ac:dyDescent="0.45">
      <c r="A96" t="s">
        <v>501</v>
      </c>
      <c r="B96" s="47">
        <v>95</v>
      </c>
      <c r="C96" s="7" t="s">
        <v>55</v>
      </c>
      <c r="D96" s="8" t="s">
        <v>56</v>
      </c>
      <c r="E96" s="18">
        <v>199</v>
      </c>
      <c r="F96" s="18">
        <v>80</v>
      </c>
      <c r="G96" s="18">
        <v>10</v>
      </c>
      <c r="H96" s="18">
        <f>20+20</f>
        <v>40</v>
      </c>
      <c r="I96" s="18">
        <v>1</v>
      </c>
      <c r="J96" s="18">
        <v>0</v>
      </c>
      <c r="K96" s="19">
        <f>E96-F96-G96-H96-I96-J96</f>
        <v>68</v>
      </c>
      <c r="L96" s="19">
        <v>68</v>
      </c>
      <c r="M96" s="19">
        <f t="shared" si="7"/>
        <v>0</v>
      </c>
      <c r="N96" s="27">
        <f t="shared" si="8"/>
        <v>1</v>
      </c>
      <c r="O96" s="28" t="s">
        <v>499</v>
      </c>
      <c r="P96" s="3"/>
    </row>
    <row r="97" spans="1:16" ht="30" customHeight="1" x14ac:dyDescent="0.45">
      <c r="A97" t="s">
        <v>501</v>
      </c>
      <c r="B97" s="47">
        <v>96</v>
      </c>
      <c r="C97" s="7" t="s">
        <v>18</v>
      </c>
      <c r="D97" s="8" t="s">
        <v>19</v>
      </c>
      <c r="E97" s="18">
        <f>99+30</f>
        <v>129</v>
      </c>
      <c r="F97" s="18">
        <v>40</v>
      </c>
      <c r="G97" s="18">
        <v>10</v>
      </c>
      <c r="H97" s="18">
        <v>25</v>
      </c>
      <c r="I97" s="18">
        <v>2</v>
      </c>
      <c r="J97" s="18">
        <v>0</v>
      </c>
      <c r="K97" s="19">
        <f>E97-F97-G97-H97-I97-J97</f>
        <v>52</v>
      </c>
      <c r="L97" s="19">
        <v>52</v>
      </c>
      <c r="M97" s="19">
        <f t="shared" si="7"/>
        <v>0</v>
      </c>
      <c r="N97" s="27">
        <f t="shared" si="8"/>
        <v>1</v>
      </c>
      <c r="O97" s="28" t="s">
        <v>499</v>
      </c>
      <c r="P97" s="3"/>
    </row>
    <row r="98" spans="1:16" ht="30" customHeight="1" x14ac:dyDescent="0.45">
      <c r="A98" t="s">
        <v>501</v>
      </c>
      <c r="B98" s="47">
        <v>97</v>
      </c>
      <c r="C98" s="7" t="s">
        <v>86</v>
      </c>
      <c r="D98" s="8" t="s">
        <v>87</v>
      </c>
      <c r="E98" s="18">
        <v>100</v>
      </c>
      <c r="F98" s="18">
        <v>40</v>
      </c>
      <c r="G98" s="18">
        <v>10</v>
      </c>
      <c r="H98" s="18">
        <f>10+10</f>
        <v>20</v>
      </c>
      <c r="I98" s="18">
        <v>3</v>
      </c>
      <c r="J98" s="18">
        <v>0</v>
      </c>
      <c r="K98" s="19">
        <f>E98-F98-G98-H98-I98-J98</f>
        <v>27</v>
      </c>
      <c r="L98" s="19">
        <v>27</v>
      </c>
      <c r="M98" s="19">
        <f t="shared" si="7"/>
        <v>0</v>
      </c>
      <c r="N98" s="27">
        <f t="shared" si="8"/>
        <v>1</v>
      </c>
      <c r="O98" s="28" t="s">
        <v>499</v>
      </c>
      <c r="P98" s="3"/>
    </row>
    <row r="99" spans="1:16" ht="30" customHeight="1" x14ac:dyDescent="0.45">
      <c r="A99" t="s">
        <v>501</v>
      </c>
      <c r="B99" s="47">
        <v>98</v>
      </c>
      <c r="C99" s="7" t="s">
        <v>400</v>
      </c>
      <c r="D99" s="8" t="s">
        <v>247</v>
      </c>
      <c r="E99" s="18">
        <v>100</v>
      </c>
      <c r="F99" s="18">
        <v>40</v>
      </c>
      <c r="G99" s="18">
        <v>10</v>
      </c>
      <c r="H99" s="18">
        <f>10+10</f>
        <v>20</v>
      </c>
      <c r="I99" s="18">
        <v>0</v>
      </c>
      <c r="J99" s="18">
        <v>0</v>
      </c>
      <c r="K99" s="19">
        <f>E99-F99-G99-H99-I99-J99</f>
        <v>30</v>
      </c>
      <c r="L99" s="19">
        <f>16+2+1+2+2+2+1+1+2+1</f>
        <v>30</v>
      </c>
      <c r="M99" s="19">
        <f t="shared" si="7"/>
        <v>0</v>
      </c>
      <c r="N99" s="27">
        <f t="shared" si="8"/>
        <v>1</v>
      </c>
      <c r="O99" s="28" t="s">
        <v>499</v>
      </c>
      <c r="P99" s="3"/>
    </row>
    <row r="100" spans="1:16" ht="30" customHeight="1" x14ac:dyDescent="0.45">
      <c r="A100" t="s">
        <v>145</v>
      </c>
      <c r="B100" s="47">
        <v>1</v>
      </c>
      <c r="C100" s="7" t="s">
        <v>146</v>
      </c>
      <c r="D100" s="8" t="s">
        <v>147</v>
      </c>
      <c r="E100" s="18">
        <v>399</v>
      </c>
      <c r="F100" s="18">
        <f>230+10</f>
        <v>240</v>
      </c>
      <c r="G100" s="18">
        <v>20</v>
      </c>
      <c r="H100" s="18">
        <f>21+10</f>
        <v>31</v>
      </c>
      <c r="I100" s="18">
        <v>2</v>
      </c>
      <c r="J100" s="18">
        <v>0</v>
      </c>
      <c r="K100" s="19">
        <f>E100-F100-G100-H100-I100-J100</f>
        <v>106</v>
      </c>
      <c r="L100" s="19">
        <v>36</v>
      </c>
      <c r="M100" s="19">
        <f>K100-L100</f>
        <v>70</v>
      </c>
      <c r="N100" s="20">
        <f>L100/K100</f>
        <v>0.33962264150943394</v>
      </c>
      <c r="O100" s="22" t="s">
        <v>497</v>
      </c>
      <c r="P100" s="3"/>
    </row>
    <row r="101" spans="1:16" ht="30" customHeight="1" x14ac:dyDescent="0.45">
      <c r="A101" t="s">
        <v>145</v>
      </c>
      <c r="B101" s="47">
        <v>2</v>
      </c>
      <c r="C101" s="7" t="s">
        <v>474</v>
      </c>
      <c r="D101" s="8" t="s">
        <v>475</v>
      </c>
      <c r="E101" s="18">
        <f>590+20</f>
        <v>610</v>
      </c>
      <c r="F101" s="18">
        <f>367+10+30</f>
        <v>407</v>
      </c>
      <c r="G101" s="18">
        <v>0</v>
      </c>
      <c r="H101" s="18">
        <f>0+10+30+40</f>
        <v>80</v>
      </c>
      <c r="I101" s="18">
        <v>0</v>
      </c>
      <c r="J101" s="18">
        <v>0</v>
      </c>
      <c r="K101" s="19">
        <f>E101-F101-G101-H101-I101-J101</f>
        <v>123</v>
      </c>
      <c r="L101" s="19">
        <v>61</v>
      </c>
      <c r="M101" s="19">
        <f>K101-L101</f>
        <v>62</v>
      </c>
      <c r="N101" s="20">
        <f>L101/K101</f>
        <v>0.49593495934959347</v>
      </c>
      <c r="O101" s="22" t="s">
        <v>497</v>
      </c>
      <c r="P101" s="3"/>
    </row>
    <row r="102" spans="1:16" ht="30" customHeight="1" x14ac:dyDescent="0.45">
      <c r="A102" t="s">
        <v>145</v>
      </c>
      <c r="B102" s="47">
        <v>3</v>
      </c>
      <c r="C102" s="7" t="s">
        <v>476</v>
      </c>
      <c r="D102" s="8" t="s">
        <v>477</v>
      </c>
      <c r="E102" s="18">
        <v>220</v>
      </c>
      <c r="F102" s="18">
        <f>150+4</f>
        <v>154</v>
      </c>
      <c r="G102" s="18">
        <v>0</v>
      </c>
      <c r="H102" s="18">
        <f>15+4</f>
        <v>19</v>
      </c>
      <c r="I102" s="18">
        <v>0</v>
      </c>
      <c r="J102" s="18">
        <v>0</v>
      </c>
      <c r="K102" s="19">
        <f>E102-F102-G102-H102-I102-J102</f>
        <v>47</v>
      </c>
      <c r="L102" s="19">
        <v>47</v>
      </c>
      <c r="M102" s="19">
        <f>K102-L102</f>
        <v>0</v>
      </c>
      <c r="N102" s="27">
        <f>L102/K102</f>
        <v>1</v>
      </c>
      <c r="O102" s="28" t="s">
        <v>499</v>
      </c>
      <c r="P102" s="3"/>
    </row>
    <row r="103" spans="1:16" ht="30" customHeight="1" x14ac:dyDescent="0.45">
      <c r="A103" t="s">
        <v>473</v>
      </c>
      <c r="B103" s="47">
        <v>1</v>
      </c>
      <c r="C103" s="7" t="s">
        <v>1062</v>
      </c>
      <c r="D103" s="8" t="s">
        <v>1063</v>
      </c>
      <c r="E103" s="18">
        <v>150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9">
        <f t="shared" ref="K103:K114" si="10">E103-F103-G103-H103-I103-J103</f>
        <v>150</v>
      </c>
      <c r="L103" s="19">
        <v>21</v>
      </c>
      <c r="M103" s="19">
        <f t="shared" ref="M103:M114" si="11">K103-L103</f>
        <v>129</v>
      </c>
      <c r="N103" s="59">
        <f t="shared" ref="N103:N114" si="12">L103/K103</f>
        <v>0.14000000000000001</v>
      </c>
      <c r="O103" s="60" t="s">
        <v>496</v>
      </c>
      <c r="P103" s="3"/>
    </row>
    <row r="104" spans="1:16" ht="30" customHeight="1" x14ac:dyDescent="0.45">
      <c r="A104" t="s">
        <v>473</v>
      </c>
      <c r="B104" s="47">
        <v>2</v>
      </c>
      <c r="C104" s="7" t="s">
        <v>1060</v>
      </c>
      <c r="D104" s="8" t="s">
        <v>1061</v>
      </c>
      <c r="E104" s="18">
        <v>150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9">
        <f t="shared" si="10"/>
        <v>150</v>
      </c>
      <c r="L104" s="19">
        <v>32</v>
      </c>
      <c r="M104" s="19">
        <f t="shared" si="11"/>
        <v>118</v>
      </c>
      <c r="N104" s="59">
        <f t="shared" si="12"/>
        <v>0.21333333333333335</v>
      </c>
      <c r="O104" s="60" t="s">
        <v>496</v>
      </c>
      <c r="P104" s="3"/>
    </row>
    <row r="105" spans="1:16" ht="30" customHeight="1" x14ac:dyDescent="0.45">
      <c r="A105" t="s">
        <v>473</v>
      </c>
      <c r="B105" s="47">
        <v>3</v>
      </c>
      <c r="C105" s="7" t="s">
        <v>97</v>
      </c>
      <c r="D105" s="8" t="s">
        <v>92</v>
      </c>
      <c r="E105" s="18">
        <v>2140</v>
      </c>
      <c r="F105" s="18">
        <v>800</v>
      </c>
      <c r="G105" s="18">
        <f>25+40+40</f>
        <v>105</v>
      </c>
      <c r="H105" s="18">
        <v>200</v>
      </c>
      <c r="I105" s="18">
        <f>2+40</f>
        <v>42</v>
      </c>
      <c r="J105" s="18">
        <v>0</v>
      </c>
      <c r="K105" s="19">
        <f t="shared" si="10"/>
        <v>993</v>
      </c>
      <c r="L105" s="19">
        <v>131</v>
      </c>
      <c r="M105" s="19">
        <f t="shared" si="11"/>
        <v>862</v>
      </c>
      <c r="N105" s="59">
        <f t="shared" si="12"/>
        <v>0.13192346424974824</v>
      </c>
      <c r="O105" s="60" t="s">
        <v>496</v>
      </c>
      <c r="P105" s="3"/>
    </row>
    <row r="106" spans="1:16" ht="30" customHeight="1" x14ac:dyDescent="0.45">
      <c r="A106" t="s">
        <v>473</v>
      </c>
      <c r="B106" s="47">
        <v>4</v>
      </c>
      <c r="C106" s="7" t="s">
        <v>99</v>
      </c>
      <c r="D106" s="8" t="s">
        <v>94</v>
      </c>
      <c r="E106" s="18">
        <v>999</v>
      </c>
      <c r="F106" s="18">
        <v>280</v>
      </c>
      <c r="G106" s="18">
        <f>25+40</f>
        <v>65</v>
      </c>
      <c r="H106" s="18">
        <v>160</v>
      </c>
      <c r="I106" s="18">
        <v>2</v>
      </c>
      <c r="J106" s="18">
        <v>0</v>
      </c>
      <c r="K106" s="19">
        <f t="shared" si="10"/>
        <v>492</v>
      </c>
      <c r="L106" s="19">
        <v>92</v>
      </c>
      <c r="M106" s="19">
        <f t="shared" si="11"/>
        <v>400</v>
      </c>
      <c r="N106" s="59">
        <f t="shared" si="12"/>
        <v>0.18699186991869918</v>
      </c>
      <c r="O106" s="60" t="s">
        <v>496</v>
      </c>
      <c r="P106" s="3"/>
    </row>
    <row r="107" spans="1:16" ht="30" customHeight="1" x14ac:dyDescent="0.45">
      <c r="A107" t="s">
        <v>473</v>
      </c>
      <c r="B107" s="47">
        <v>5</v>
      </c>
      <c r="C107" s="7" t="s">
        <v>1064</v>
      </c>
      <c r="D107" s="8" t="s">
        <v>1065</v>
      </c>
      <c r="E107" s="18">
        <v>100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9">
        <f t="shared" si="10"/>
        <v>100</v>
      </c>
      <c r="L107" s="19">
        <v>29</v>
      </c>
      <c r="M107" s="19">
        <f t="shared" si="11"/>
        <v>71</v>
      </c>
      <c r="N107" s="20">
        <f t="shared" si="12"/>
        <v>0.28999999999999998</v>
      </c>
      <c r="O107" s="22" t="s">
        <v>497</v>
      </c>
      <c r="P107" s="3"/>
    </row>
    <row r="108" spans="1:16" ht="30" customHeight="1" x14ac:dyDescent="0.45">
      <c r="A108" t="s">
        <v>473</v>
      </c>
      <c r="B108" s="47">
        <v>6</v>
      </c>
      <c r="C108" s="7" t="s">
        <v>96</v>
      </c>
      <c r="D108" s="8" t="s">
        <v>94</v>
      </c>
      <c r="E108" s="18">
        <v>1000</v>
      </c>
      <c r="F108" s="18">
        <f>240+200</f>
        <v>440</v>
      </c>
      <c r="G108" s="18">
        <v>85</v>
      </c>
      <c r="H108" s="18">
        <v>160</v>
      </c>
      <c r="I108" s="18">
        <v>2</v>
      </c>
      <c r="J108" s="18">
        <v>0</v>
      </c>
      <c r="K108" s="19">
        <f t="shared" si="10"/>
        <v>313</v>
      </c>
      <c r="L108" s="19">
        <v>100</v>
      </c>
      <c r="M108" s="19">
        <f t="shared" si="11"/>
        <v>213</v>
      </c>
      <c r="N108" s="20">
        <f t="shared" si="12"/>
        <v>0.31948881789137379</v>
      </c>
      <c r="O108" s="22" t="s">
        <v>497</v>
      </c>
      <c r="P108" s="3"/>
    </row>
    <row r="109" spans="1:16" ht="30" customHeight="1" x14ac:dyDescent="0.45">
      <c r="A109" t="s">
        <v>473</v>
      </c>
      <c r="B109" s="47">
        <v>7</v>
      </c>
      <c r="C109" s="7" t="s">
        <v>95</v>
      </c>
      <c r="D109" s="8" t="s">
        <v>94</v>
      </c>
      <c r="E109" s="18">
        <v>1000</v>
      </c>
      <c r="F109" s="18">
        <f>280+200</f>
        <v>480</v>
      </c>
      <c r="G109" s="18">
        <f>25+40</f>
        <v>65</v>
      </c>
      <c r="H109" s="18">
        <v>160</v>
      </c>
      <c r="I109" s="18">
        <v>2</v>
      </c>
      <c r="J109" s="18">
        <v>0</v>
      </c>
      <c r="K109" s="19">
        <f t="shared" si="10"/>
        <v>293</v>
      </c>
      <c r="L109" s="19">
        <v>123</v>
      </c>
      <c r="M109" s="19">
        <f t="shared" si="11"/>
        <v>170</v>
      </c>
      <c r="N109" s="20">
        <f t="shared" si="12"/>
        <v>0.41979522184300339</v>
      </c>
      <c r="O109" s="22" t="s">
        <v>497</v>
      </c>
      <c r="P109" s="3"/>
    </row>
    <row r="110" spans="1:16" ht="30" customHeight="1" x14ac:dyDescent="0.45">
      <c r="A110" t="s">
        <v>473</v>
      </c>
      <c r="B110" s="47">
        <v>8</v>
      </c>
      <c r="C110" s="7" t="s">
        <v>726</v>
      </c>
      <c r="D110" s="8" t="s">
        <v>92</v>
      </c>
      <c r="E110" s="18">
        <v>2004</v>
      </c>
      <c r="F110" s="18">
        <v>900</v>
      </c>
      <c r="G110" s="18">
        <v>65</v>
      </c>
      <c r="H110" s="18">
        <v>226</v>
      </c>
      <c r="I110" s="18">
        <v>2</v>
      </c>
      <c r="J110" s="18">
        <v>0</v>
      </c>
      <c r="K110" s="19">
        <f t="shared" si="10"/>
        <v>811</v>
      </c>
      <c r="L110" s="19">
        <v>340</v>
      </c>
      <c r="M110" s="19">
        <f t="shared" si="11"/>
        <v>471</v>
      </c>
      <c r="N110" s="20">
        <f t="shared" si="12"/>
        <v>0.41923551171393342</v>
      </c>
      <c r="O110" s="22" t="s">
        <v>497</v>
      </c>
      <c r="P110" s="3"/>
    </row>
    <row r="111" spans="1:16" ht="30" customHeight="1" x14ac:dyDescent="0.45">
      <c r="A111" t="s">
        <v>473</v>
      </c>
      <c r="B111" s="47">
        <v>9</v>
      </c>
      <c r="C111" s="7" t="s">
        <v>98</v>
      </c>
      <c r="D111" s="8" t="s">
        <v>94</v>
      </c>
      <c r="E111" s="18">
        <v>1001</v>
      </c>
      <c r="F111" s="18">
        <f>280+80</f>
        <v>360</v>
      </c>
      <c r="G111" s="18">
        <v>125</v>
      </c>
      <c r="H111" s="18">
        <v>160</v>
      </c>
      <c r="I111" s="18">
        <v>2</v>
      </c>
      <c r="J111" s="18">
        <v>0</v>
      </c>
      <c r="K111" s="19">
        <f t="shared" si="10"/>
        <v>354</v>
      </c>
      <c r="L111" s="19">
        <v>161</v>
      </c>
      <c r="M111" s="19">
        <f t="shared" si="11"/>
        <v>193</v>
      </c>
      <c r="N111" s="20">
        <f t="shared" si="12"/>
        <v>0.45480225988700562</v>
      </c>
      <c r="O111" s="22" t="s">
        <v>497</v>
      </c>
      <c r="P111" s="3"/>
    </row>
    <row r="112" spans="1:16" ht="30" customHeight="1" x14ac:dyDescent="0.45">
      <c r="A112" t="s">
        <v>473</v>
      </c>
      <c r="B112" s="47">
        <v>10</v>
      </c>
      <c r="C112" s="7" t="s">
        <v>727</v>
      </c>
      <c r="D112" s="8" t="s">
        <v>92</v>
      </c>
      <c r="E112" s="18">
        <v>2000</v>
      </c>
      <c r="F112" s="18">
        <f>520+35</f>
        <v>555</v>
      </c>
      <c r="G112" s="18">
        <f>25+40</f>
        <v>65</v>
      </c>
      <c r="H112" s="18">
        <v>191</v>
      </c>
      <c r="I112" s="18">
        <v>2</v>
      </c>
      <c r="J112" s="18">
        <v>0</v>
      </c>
      <c r="K112" s="19">
        <f t="shared" si="10"/>
        <v>1187</v>
      </c>
      <c r="L112" s="19">
        <v>523</v>
      </c>
      <c r="M112" s="19">
        <f t="shared" si="11"/>
        <v>664</v>
      </c>
      <c r="N112" s="20">
        <f t="shared" si="12"/>
        <v>0.44060657118786856</v>
      </c>
      <c r="O112" s="22" t="s">
        <v>497</v>
      </c>
      <c r="P112" s="3"/>
    </row>
    <row r="113" spans="1:16" ht="30" customHeight="1" x14ac:dyDescent="0.45">
      <c r="A113" t="s">
        <v>473</v>
      </c>
      <c r="B113" s="47">
        <v>11</v>
      </c>
      <c r="C113" s="7" t="s">
        <v>93</v>
      </c>
      <c r="D113" s="8" t="s">
        <v>94</v>
      </c>
      <c r="E113" s="18">
        <v>502</v>
      </c>
      <c r="F113" s="18">
        <v>150</v>
      </c>
      <c r="G113" s="18">
        <v>120</v>
      </c>
      <c r="H113" s="18">
        <v>70</v>
      </c>
      <c r="I113" s="18">
        <v>2</v>
      </c>
      <c r="J113" s="18">
        <v>0</v>
      </c>
      <c r="K113" s="19">
        <f t="shared" si="10"/>
        <v>160</v>
      </c>
      <c r="L113" s="19">
        <v>97</v>
      </c>
      <c r="M113" s="19">
        <f t="shared" si="11"/>
        <v>63</v>
      </c>
      <c r="N113" s="23">
        <f t="shared" si="12"/>
        <v>0.60624999999999996</v>
      </c>
      <c r="O113" s="24" t="s">
        <v>498</v>
      </c>
      <c r="P113" s="3"/>
    </row>
    <row r="114" spans="1:16" ht="30" customHeight="1" x14ac:dyDescent="0.45">
      <c r="A114" t="s">
        <v>473</v>
      </c>
      <c r="B114" s="47">
        <v>12</v>
      </c>
      <c r="C114" s="7" t="s">
        <v>728</v>
      </c>
      <c r="D114" s="8" t="s">
        <v>92</v>
      </c>
      <c r="E114" s="18">
        <v>2009</v>
      </c>
      <c r="F114" s="18">
        <f>520+320+200</f>
        <v>1040</v>
      </c>
      <c r="G114" s="18">
        <f>25+40</f>
        <v>65</v>
      </c>
      <c r="H114" s="18">
        <v>106</v>
      </c>
      <c r="I114" s="18">
        <v>2</v>
      </c>
      <c r="J114" s="18">
        <v>0</v>
      </c>
      <c r="K114" s="19">
        <f t="shared" si="10"/>
        <v>796</v>
      </c>
      <c r="L114" s="19">
        <v>606</v>
      </c>
      <c r="M114" s="19">
        <f t="shared" si="11"/>
        <v>190</v>
      </c>
      <c r="N114" s="25">
        <f t="shared" si="12"/>
        <v>0.7613065326633166</v>
      </c>
      <c r="O114" s="26" t="s">
        <v>495</v>
      </c>
      <c r="P114" s="3"/>
    </row>
    <row r="115" spans="1:16" ht="30" customHeight="1" x14ac:dyDescent="0.45">
      <c r="A115" t="s">
        <v>504</v>
      </c>
      <c r="B115" s="47">
        <v>1</v>
      </c>
      <c r="C115" s="7" t="s">
        <v>142</v>
      </c>
      <c r="D115" s="8" t="s">
        <v>137</v>
      </c>
      <c r="E115" s="18">
        <v>1001</v>
      </c>
      <c r="F115" s="18">
        <v>200</v>
      </c>
      <c r="G115" s="18">
        <v>50</v>
      </c>
      <c r="H115" s="18">
        <v>200</v>
      </c>
      <c r="I115" s="18">
        <v>2</v>
      </c>
      <c r="J115" s="18">
        <v>0</v>
      </c>
      <c r="K115" s="19">
        <f t="shared" ref="K115:K124" si="13">E115-F115-G115-H115-I115-J115</f>
        <v>549</v>
      </c>
      <c r="L115" s="19">
        <v>135</v>
      </c>
      <c r="M115" s="19">
        <f t="shared" ref="M115:M124" si="14">K115-L115</f>
        <v>414</v>
      </c>
      <c r="N115" s="59">
        <f t="shared" ref="N115:N124" si="15">L115/K115</f>
        <v>0.24590163934426229</v>
      </c>
      <c r="O115" s="60" t="s">
        <v>496</v>
      </c>
      <c r="P115" s="3"/>
    </row>
    <row r="116" spans="1:16" ht="30" customHeight="1" x14ac:dyDescent="0.45">
      <c r="A116" t="s">
        <v>504</v>
      </c>
      <c r="B116" s="47">
        <v>2</v>
      </c>
      <c r="C116" s="7" t="s">
        <v>136</v>
      </c>
      <c r="D116" s="8" t="s">
        <v>137</v>
      </c>
      <c r="E116" s="18">
        <v>700</v>
      </c>
      <c r="F116" s="18">
        <v>260</v>
      </c>
      <c r="G116" s="18">
        <v>40</v>
      </c>
      <c r="H116" s="18">
        <v>100</v>
      </c>
      <c r="I116" s="18">
        <v>2</v>
      </c>
      <c r="J116" s="18">
        <v>40</v>
      </c>
      <c r="K116" s="19">
        <f t="shared" si="13"/>
        <v>258</v>
      </c>
      <c r="L116" s="19">
        <v>82</v>
      </c>
      <c r="M116" s="19">
        <f t="shared" si="14"/>
        <v>176</v>
      </c>
      <c r="N116" s="20">
        <f t="shared" si="15"/>
        <v>0.31782945736434109</v>
      </c>
      <c r="O116" s="22" t="s">
        <v>497</v>
      </c>
      <c r="P116" s="3"/>
    </row>
    <row r="117" spans="1:16" ht="30" customHeight="1" x14ac:dyDescent="0.45">
      <c r="A117" t="s">
        <v>504</v>
      </c>
      <c r="B117" s="47">
        <v>3</v>
      </c>
      <c r="C117" s="7" t="s">
        <v>1058</v>
      </c>
      <c r="D117" s="8" t="s">
        <v>1059</v>
      </c>
      <c r="E117" s="18">
        <v>100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9">
        <f t="shared" si="13"/>
        <v>100</v>
      </c>
      <c r="L117" s="19">
        <v>23</v>
      </c>
      <c r="M117" s="19">
        <f t="shared" si="14"/>
        <v>77</v>
      </c>
      <c r="N117" s="20">
        <f t="shared" si="15"/>
        <v>0.23</v>
      </c>
      <c r="O117" s="22" t="s">
        <v>497</v>
      </c>
      <c r="P117" s="3"/>
    </row>
    <row r="118" spans="1:16" ht="30" customHeight="1" x14ac:dyDescent="0.45">
      <c r="A118" t="s">
        <v>504</v>
      </c>
      <c r="B118" s="47">
        <v>4</v>
      </c>
      <c r="C118" s="7" t="s">
        <v>1056</v>
      </c>
      <c r="D118" s="8" t="s">
        <v>1057</v>
      </c>
      <c r="E118" s="18">
        <f>40+80</f>
        <v>120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9">
        <f t="shared" si="13"/>
        <v>120</v>
      </c>
      <c r="L118" s="19">
        <v>48</v>
      </c>
      <c r="M118" s="19">
        <f t="shared" si="14"/>
        <v>72</v>
      </c>
      <c r="N118" s="20">
        <f t="shared" si="15"/>
        <v>0.4</v>
      </c>
      <c r="O118" s="22" t="s">
        <v>497</v>
      </c>
      <c r="P118" s="3"/>
    </row>
    <row r="119" spans="1:16" ht="30" customHeight="1" x14ac:dyDescent="0.45">
      <c r="A119" t="s">
        <v>504</v>
      </c>
      <c r="B119" s="47">
        <v>5</v>
      </c>
      <c r="C119" s="7" t="s">
        <v>143</v>
      </c>
      <c r="D119" s="8" t="s">
        <v>137</v>
      </c>
      <c r="E119" s="18">
        <v>999</v>
      </c>
      <c r="F119" s="18">
        <v>200</v>
      </c>
      <c r="G119" s="18">
        <v>70</v>
      </c>
      <c r="H119" s="18">
        <v>200</v>
      </c>
      <c r="I119" s="18">
        <v>2</v>
      </c>
      <c r="J119" s="18">
        <v>0</v>
      </c>
      <c r="K119" s="19">
        <f t="shared" si="13"/>
        <v>527</v>
      </c>
      <c r="L119" s="19">
        <v>209</v>
      </c>
      <c r="M119" s="19">
        <f t="shared" si="14"/>
        <v>318</v>
      </c>
      <c r="N119" s="20">
        <f t="shared" si="15"/>
        <v>0.396584440227704</v>
      </c>
      <c r="O119" s="22" t="s">
        <v>497</v>
      </c>
      <c r="P119" s="3"/>
    </row>
    <row r="120" spans="1:16" ht="30" customHeight="1" x14ac:dyDescent="0.45">
      <c r="A120" t="s">
        <v>504</v>
      </c>
      <c r="B120" s="47">
        <v>6</v>
      </c>
      <c r="C120" s="7" t="s">
        <v>141</v>
      </c>
      <c r="D120" s="8" t="s">
        <v>137</v>
      </c>
      <c r="E120" s="18">
        <v>1000</v>
      </c>
      <c r="F120" s="18">
        <v>200</v>
      </c>
      <c r="G120" s="18">
        <v>90</v>
      </c>
      <c r="H120" s="18">
        <v>250</v>
      </c>
      <c r="I120" s="18">
        <v>2</v>
      </c>
      <c r="J120" s="18">
        <v>0</v>
      </c>
      <c r="K120" s="19">
        <f t="shared" si="13"/>
        <v>458</v>
      </c>
      <c r="L120" s="19">
        <v>200</v>
      </c>
      <c r="M120" s="19">
        <f t="shared" si="14"/>
        <v>258</v>
      </c>
      <c r="N120" s="20">
        <f t="shared" si="15"/>
        <v>0.4366812227074236</v>
      </c>
      <c r="O120" s="22" t="s">
        <v>497</v>
      </c>
      <c r="P120" s="3"/>
    </row>
    <row r="121" spans="1:16" ht="30" customHeight="1" x14ac:dyDescent="0.45">
      <c r="A121" t="s">
        <v>504</v>
      </c>
      <c r="B121" s="47">
        <v>7</v>
      </c>
      <c r="C121" s="7" t="s">
        <v>139</v>
      </c>
      <c r="D121" s="8" t="s">
        <v>137</v>
      </c>
      <c r="E121" s="18">
        <v>490</v>
      </c>
      <c r="F121" s="18">
        <v>100</v>
      </c>
      <c r="G121" s="18">
        <v>40</v>
      </c>
      <c r="H121" s="18">
        <v>150</v>
      </c>
      <c r="I121" s="18">
        <v>2</v>
      </c>
      <c r="J121" s="18">
        <v>0</v>
      </c>
      <c r="K121" s="19">
        <f t="shared" si="13"/>
        <v>198</v>
      </c>
      <c r="L121" s="19">
        <v>108</v>
      </c>
      <c r="M121" s="19">
        <f t="shared" si="14"/>
        <v>90</v>
      </c>
      <c r="N121" s="23">
        <f t="shared" si="15"/>
        <v>0.54545454545454541</v>
      </c>
      <c r="O121" s="24" t="s">
        <v>498</v>
      </c>
      <c r="P121" s="3"/>
    </row>
    <row r="122" spans="1:16" ht="30" customHeight="1" x14ac:dyDescent="0.45">
      <c r="A122" t="s">
        <v>504</v>
      </c>
      <c r="B122" s="47">
        <v>8</v>
      </c>
      <c r="C122" s="7" t="s">
        <v>138</v>
      </c>
      <c r="D122" s="8" t="s">
        <v>137</v>
      </c>
      <c r="E122" s="18">
        <f>1002+200+100</f>
        <v>1302</v>
      </c>
      <c r="F122" s="18">
        <f>360+20</f>
        <v>380</v>
      </c>
      <c r="G122" s="18">
        <f>100+60</f>
        <v>160</v>
      </c>
      <c r="H122" s="18">
        <v>200</v>
      </c>
      <c r="I122" s="18">
        <v>2</v>
      </c>
      <c r="J122" s="18">
        <v>100</v>
      </c>
      <c r="K122" s="19">
        <f t="shared" si="13"/>
        <v>460</v>
      </c>
      <c r="L122" s="19">
        <v>301</v>
      </c>
      <c r="M122" s="19">
        <f t="shared" si="14"/>
        <v>159</v>
      </c>
      <c r="N122" s="23">
        <f t="shared" si="15"/>
        <v>0.65434782608695652</v>
      </c>
      <c r="O122" s="24" t="s">
        <v>498</v>
      </c>
      <c r="P122" s="3"/>
    </row>
    <row r="123" spans="1:16" ht="30" customHeight="1" x14ac:dyDescent="0.45">
      <c r="A123" t="s">
        <v>504</v>
      </c>
      <c r="B123" s="47">
        <v>9</v>
      </c>
      <c r="C123" s="7" t="s">
        <v>140</v>
      </c>
      <c r="D123" s="8" t="s">
        <v>137</v>
      </c>
      <c r="E123" s="18">
        <v>500</v>
      </c>
      <c r="F123" s="18">
        <v>100</v>
      </c>
      <c r="G123" s="18">
        <v>70</v>
      </c>
      <c r="H123" s="18">
        <v>150</v>
      </c>
      <c r="I123" s="18">
        <v>2</v>
      </c>
      <c r="J123" s="18">
        <v>0</v>
      </c>
      <c r="K123" s="19">
        <f t="shared" si="13"/>
        <v>178</v>
      </c>
      <c r="L123" s="19">
        <v>109</v>
      </c>
      <c r="M123" s="19">
        <f t="shared" si="14"/>
        <v>69</v>
      </c>
      <c r="N123" s="23">
        <f t="shared" si="15"/>
        <v>0.61235955056179781</v>
      </c>
      <c r="O123" s="24" t="s">
        <v>498</v>
      </c>
      <c r="P123" s="3"/>
    </row>
    <row r="124" spans="1:16" ht="30" customHeight="1" x14ac:dyDescent="0.45">
      <c r="A124" t="s">
        <v>504</v>
      </c>
      <c r="B124" s="47">
        <v>10</v>
      </c>
      <c r="C124" s="7" t="s">
        <v>144</v>
      </c>
      <c r="D124" s="8" t="s">
        <v>137</v>
      </c>
      <c r="E124" s="18">
        <v>500</v>
      </c>
      <c r="F124" s="18">
        <v>100</v>
      </c>
      <c r="G124" s="18">
        <v>70</v>
      </c>
      <c r="H124" s="18">
        <v>125</v>
      </c>
      <c r="I124" s="18">
        <v>2</v>
      </c>
      <c r="J124" s="18">
        <v>0</v>
      </c>
      <c r="K124" s="19">
        <f t="shared" si="13"/>
        <v>203</v>
      </c>
      <c r="L124" s="19">
        <v>180</v>
      </c>
      <c r="M124" s="19">
        <f t="shared" si="14"/>
        <v>23</v>
      </c>
      <c r="N124" s="25">
        <f t="shared" si="15"/>
        <v>0.88669950738916259</v>
      </c>
      <c r="O124" s="26" t="s">
        <v>495</v>
      </c>
      <c r="P124" s="3"/>
    </row>
    <row r="125" spans="1:16" s="3" customFormat="1" ht="30.75" customHeight="1" x14ac:dyDescent="0.45">
      <c r="A125" s="3" t="s">
        <v>479</v>
      </c>
      <c r="B125" s="47">
        <v>1</v>
      </c>
      <c r="C125" s="7" t="s">
        <v>922</v>
      </c>
      <c r="D125" s="8" t="s">
        <v>924</v>
      </c>
      <c r="E125" s="18">
        <v>12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9">
        <f t="shared" ref="K125:K156" si="16">E125-F125-G125-H125-I125-J125</f>
        <v>12</v>
      </c>
      <c r="L125" s="19">
        <v>0</v>
      </c>
      <c r="M125" s="19">
        <f t="shared" ref="M125:M156" si="17">K125-L125</f>
        <v>12</v>
      </c>
      <c r="N125" s="37">
        <f t="shared" ref="N125:N156" si="18">L125/K125</f>
        <v>0</v>
      </c>
      <c r="O125" s="38" t="s">
        <v>500</v>
      </c>
    </row>
    <row r="126" spans="1:16" s="3" customFormat="1" ht="30.75" customHeight="1" x14ac:dyDescent="0.45">
      <c r="A126" s="3" t="s">
        <v>479</v>
      </c>
      <c r="B126" s="47">
        <v>2</v>
      </c>
      <c r="C126" s="7" t="s">
        <v>923</v>
      </c>
      <c r="D126" s="8" t="s">
        <v>924</v>
      </c>
      <c r="E126" s="18">
        <v>12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9">
        <f t="shared" si="16"/>
        <v>12</v>
      </c>
      <c r="L126" s="19">
        <v>0</v>
      </c>
      <c r="M126" s="19">
        <f t="shared" si="17"/>
        <v>12</v>
      </c>
      <c r="N126" s="37">
        <f t="shared" si="18"/>
        <v>0</v>
      </c>
      <c r="O126" s="38" t="s">
        <v>500</v>
      </c>
    </row>
    <row r="127" spans="1:16" s="3" customFormat="1" ht="30.75" customHeight="1" x14ac:dyDescent="0.45">
      <c r="A127" s="3" t="s">
        <v>479</v>
      </c>
      <c r="B127" s="47">
        <v>3</v>
      </c>
      <c r="C127" s="7" t="s">
        <v>459</v>
      </c>
      <c r="D127" s="8" t="s">
        <v>460</v>
      </c>
      <c r="E127" s="18">
        <f>16+8</f>
        <v>24</v>
      </c>
      <c r="F127" s="18">
        <v>0</v>
      </c>
      <c r="G127" s="18">
        <v>2</v>
      </c>
      <c r="H127" s="18">
        <f>2+4</f>
        <v>6</v>
      </c>
      <c r="I127" s="18">
        <v>0</v>
      </c>
      <c r="J127" s="18">
        <v>0</v>
      </c>
      <c r="K127" s="19">
        <f t="shared" si="16"/>
        <v>16</v>
      </c>
      <c r="L127" s="19">
        <v>1</v>
      </c>
      <c r="M127" s="19">
        <f t="shared" si="17"/>
        <v>15</v>
      </c>
      <c r="N127" s="59">
        <f t="shared" si="18"/>
        <v>6.25E-2</v>
      </c>
      <c r="O127" s="60" t="s">
        <v>496</v>
      </c>
    </row>
    <row r="128" spans="1:16" s="3" customFormat="1" ht="30.75" customHeight="1" x14ac:dyDescent="0.45">
      <c r="A128" s="3" t="s">
        <v>479</v>
      </c>
      <c r="B128" s="47">
        <v>4</v>
      </c>
      <c r="C128" s="7" t="s">
        <v>457</v>
      </c>
      <c r="D128" s="8" t="s">
        <v>458</v>
      </c>
      <c r="E128" s="18">
        <f>16+8</f>
        <v>24</v>
      </c>
      <c r="F128" s="18">
        <f>0+4</f>
        <v>4</v>
      </c>
      <c r="G128" s="18">
        <v>2</v>
      </c>
      <c r="H128" s="18">
        <f>2+4</f>
        <v>6</v>
      </c>
      <c r="I128" s="18">
        <v>0</v>
      </c>
      <c r="J128" s="18">
        <v>0</v>
      </c>
      <c r="K128" s="19">
        <f t="shared" si="16"/>
        <v>12</v>
      </c>
      <c r="L128" s="19">
        <v>1</v>
      </c>
      <c r="M128" s="19">
        <f t="shared" si="17"/>
        <v>11</v>
      </c>
      <c r="N128" s="59">
        <f t="shared" si="18"/>
        <v>8.3333333333333329E-2</v>
      </c>
      <c r="O128" s="60" t="s">
        <v>496</v>
      </c>
    </row>
    <row r="129" spans="1:15" s="3" customFormat="1" ht="30.75" customHeight="1" x14ac:dyDescent="0.45">
      <c r="A129" s="3" t="s">
        <v>479</v>
      </c>
      <c r="B129" s="47">
        <v>5</v>
      </c>
      <c r="C129" s="7" t="s">
        <v>471</v>
      </c>
      <c r="D129" s="8" t="s">
        <v>472</v>
      </c>
      <c r="E129" s="18">
        <f>13+16</f>
        <v>29</v>
      </c>
      <c r="F129" s="18">
        <v>0</v>
      </c>
      <c r="G129" s="18">
        <f>2+1</f>
        <v>3</v>
      </c>
      <c r="H129" s="18">
        <f>2+4</f>
        <v>6</v>
      </c>
      <c r="I129" s="18">
        <v>0</v>
      </c>
      <c r="J129" s="18">
        <v>0</v>
      </c>
      <c r="K129" s="19">
        <f t="shared" si="16"/>
        <v>20</v>
      </c>
      <c r="L129" s="19">
        <v>2</v>
      </c>
      <c r="M129" s="19">
        <f t="shared" si="17"/>
        <v>18</v>
      </c>
      <c r="N129" s="59">
        <f t="shared" si="18"/>
        <v>0.1</v>
      </c>
      <c r="O129" s="60" t="s">
        <v>496</v>
      </c>
    </row>
    <row r="130" spans="1:15" s="3" customFormat="1" ht="30.75" customHeight="1" x14ac:dyDescent="0.45">
      <c r="A130" s="3" t="s">
        <v>479</v>
      </c>
      <c r="B130" s="47">
        <v>6</v>
      </c>
      <c r="C130" s="7" t="s">
        <v>469</v>
      </c>
      <c r="D130" s="8" t="s">
        <v>470</v>
      </c>
      <c r="E130" s="18">
        <f>13+16</f>
        <v>29</v>
      </c>
      <c r="F130" s="18">
        <v>0</v>
      </c>
      <c r="G130" s="18">
        <f>2+1</f>
        <v>3</v>
      </c>
      <c r="H130" s="18">
        <f>2+4</f>
        <v>6</v>
      </c>
      <c r="I130" s="18">
        <v>0</v>
      </c>
      <c r="J130" s="18">
        <v>0</v>
      </c>
      <c r="K130" s="19">
        <f t="shared" si="16"/>
        <v>20</v>
      </c>
      <c r="L130" s="19">
        <v>2</v>
      </c>
      <c r="M130" s="19">
        <f t="shared" si="17"/>
        <v>18</v>
      </c>
      <c r="N130" s="59">
        <f t="shared" si="18"/>
        <v>0.1</v>
      </c>
      <c r="O130" s="60" t="s">
        <v>496</v>
      </c>
    </row>
    <row r="131" spans="1:15" s="3" customFormat="1" ht="30.75" customHeight="1" x14ac:dyDescent="0.45">
      <c r="A131" s="3" t="s">
        <v>479</v>
      </c>
      <c r="B131" s="47">
        <v>7</v>
      </c>
      <c r="C131" s="7" t="s">
        <v>445</v>
      </c>
      <c r="D131" s="8" t="s">
        <v>446</v>
      </c>
      <c r="E131" s="18">
        <v>30</v>
      </c>
      <c r="F131" s="18">
        <v>0</v>
      </c>
      <c r="G131" s="18">
        <f>2+4</f>
        <v>6</v>
      </c>
      <c r="H131" s="18">
        <f>2+4</f>
        <v>6</v>
      </c>
      <c r="I131" s="18">
        <v>0</v>
      </c>
      <c r="J131" s="18">
        <v>0</v>
      </c>
      <c r="K131" s="19">
        <f t="shared" si="16"/>
        <v>18</v>
      </c>
      <c r="L131" s="19">
        <f>1+2</f>
        <v>3</v>
      </c>
      <c r="M131" s="19">
        <f t="shared" si="17"/>
        <v>15</v>
      </c>
      <c r="N131" s="59">
        <f t="shared" si="18"/>
        <v>0.16666666666666666</v>
      </c>
      <c r="O131" s="60" t="s">
        <v>496</v>
      </c>
    </row>
    <row r="132" spans="1:15" s="3" customFormat="1" ht="30.75" customHeight="1" x14ac:dyDescent="0.45">
      <c r="A132" s="3" t="s">
        <v>479</v>
      </c>
      <c r="B132" s="47">
        <v>8</v>
      </c>
      <c r="C132" s="7" t="s">
        <v>463</v>
      </c>
      <c r="D132" s="8" t="s">
        <v>464</v>
      </c>
      <c r="E132" s="18">
        <f>20+12</f>
        <v>32</v>
      </c>
      <c r="F132" s="18">
        <f>6+5</f>
        <v>11</v>
      </c>
      <c r="G132" s="18">
        <f>2+2+1</f>
        <v>5</v>
      </c>
      <c r="H132" s="18">
        <v>0</v>
      </c>
      <c r="I132" s="18">
        <v>0</v>
      </c>
      <c r="J132" s="18">
        <v>0</v>
      </c>
      <c r="K132" s="19">
        <f t="shared" si="16"/>
        <v>16</v>
      </c>
      <c r="L132" s="19">
        <v>3</v>
      </c>
      <c r="M132" s="19">
        <f t="shared" si="17"/>
        <v>13</v>
      </c>
      <c r="N132" s="59">
        <f t="shared" si="18"/>
        <v>0.1875</v>
      </c>
      <c r="O132" s="60" t="s">
        <v>496</v>
      </c>
    </row>
    <row r="133" spans="1:15" s="3" customFormat="1" ht="30.75" customHeight="1" x14ac:dyDescent="0.45">
      <c r="A133" s="3" t="s">
        <v>479</v>
      </c>
      <c r="B133" s="47">
        <v>9</v>
      </c>
      <c r="C133" s="7" t="s">
        <v>126</v>
      </c>
      <c r="D133" s="8" t="s">
        <v>127</v>
      </c>
      <c r="E133" s="18">
        <f>64+8</f>
        <v>72</v>
      </c>
      <c r="F133" s="18">
        <f>0+12+4+12</f>
        <v>28</v>
      </c>
      <c r="G133" s="18">
        <v>4</v>
      </c>
      <c r="H133" s="18">
        <f>2+8</f>
        <v>10</v>
      </c>
      <c r="I133" s="18">
        <v>1</v>
      </c>
      <c r="J133" s="18">
        <v>0</v>
      </c>
      <c r="K133" s="19">
        <f t="shared" si="16"/>
        <v>29</v>
      </c>
      <c r="L133" s="19">
        <v>6</v>
      </c>
      <c r="M133" s="19">
        <f t="shared" si="17"/>
        <v>23</v>
      </c>
      <c r="N133" s="59">
        <f t="shared" si="18"/>
        <v>0.20689655172413793</v>
      </c>
      <c r="O133" s="60" t="s">
        <v>496</v>
      </c>
    </row>
    <row r="134" spans="1:15" s="3" customFormat="1" ht="30.75" customHeight="1" x14ac:dyDescent="0.45">
      <c r="A134" s="3" t="s">
        <v>479</v>
      </c>
      <c r="B134" s="47">
        <v>10</v>
      </c>
      <c r="C134" s="7" t="s">
        <v>465</v>
      </c>
      <c r="D134" s="8" t="s">
        <v>466</v>
      </c>
      <c r="E134" s="18">
        <f>21+16</f>
        <v>37</v>
      </c>
      <c r="F134" s="18">
        <f>0+6</f>
        <v>6</v>
      </c>
      <c r="G134" s="18">
        <v>2</v>
      </c>
      <c r="H134" s="18">
        <f>2+4</f>
        <v>6</v>
      </c>
      <c r="I134" s="18">
        <v>0</v>
      </c>
      <c r="J134" s="18">
        <v>0</v>
      </c>
      <c r="K134" s="19">
        <f t="shared" si="16"/>
        <v>23</v>
      </c>
      <c r="L134" s="19">
        <f>1+4</f>
        <v>5</v>
      </c>
      <c r="M134" s="19">
        <f t="shared" si="17"/>
        <v>18</v>
      </c>
      <c r="N134" s="59">
        <f t="shared" si="18"/>
        <v>0.21739130434782608</v>
      </c>
      <c r="O134" s="60" t="s">
        <v>496</v>
      </c>
    </row>
    <row r="135" spans="1:15" s="3" customFormat="1" ht="30.75" customHeight="1" x14ac:dyDescent="0.45">
      <c r="A135" s="3" t="s">
        <v>479</v>
      </c>
      <c r="B135" s="47">
        <v>11</v>
      </c>
      <c r="C135" s="7" t="s">
        <v>451</v>
      </c>
      <c r="D135" s="8" t="s">
        <v>452</v>
      </c>
      <c r="E135" s="18">
        <v>19</v>
      </c>
      <c r="F135" s="18">
        <v>0</v>
      </c>
      <c r="G135" s="18">
        <f>2+2</f>
        <v>4</v>
      </c>
      <c r="H135" s="18">
        <f>2+4</f>
        <v>6</v>
      </c>
      <c r="I135" s="18">
        <v>0</v>
      </c>
      <c r="J135" s="18">
        <v>0</v>
      </c>
      <c r="K135" s="19">
        <f t="shared" si="16"/>
        <v>9</v>
      </c>
      <c r="L135" s="19">
        <v>2</v>
      </c>
      <c r="M135" s="19">
        <f t="shared" si="17"/>
        <v>7</v>
      </c>
      <c r="N135" s="59">
        <f t="shared" si="18"/>
        <v>0.22222222222222221</v>
      </c>
      <c r="O135" s="60" t="s">
        <v>496</v>
      </c>
    </row>
    <row r="136" spans="1:15" s="3" customFormat="1" ht="30.75" customHeight="1" x14ac:dyDescent="0.45">
      <c r="A136" s="3" t="s">
        <v>479</v>
      </c>
      <c r="B136" s="47">
        <v>12</v>
      </c>
      <c r="C136" s="7" t="s">
        <v>449</v>
      </c>
      <c r="D136" s="8" t="s">
        <v>450</v>
      </c>
      <c r="E136" s="18">
        <v>19</v>
      </c>
      <c r="F136" s="18">
        <v>0</v>
      </c>
      <c r="G136" s="18">
        <f>2+2</f>
        <v>4</v>
      </c>
      <c r="H136" s="18">
        <f>2+4</f>
        <v>6</v>
      </c>
      <c r="I136" s="18">
        <v>0</v>
      </c>
      <c r="J136" s="18">
        <v>0</v>
      </c>
      <c r="K136" s="19">
        <f t="shared" si="16"/>
        <v>9</v>
      </c>
      <c r="L136" s="19">
        <v>2</v>
      </c>
      <c r="M136" s="19">
        <f t="shared" si="17"/>
        <v>7</v>
      </c>
      <c r="N136" s="59">
        <f t="shared" si="18"/>
        <v>0.22222222222222221</v>
      </c>
      <c r="O136" s="60" t="s">
        <v>496</v>
      </c>
    </row>
    <row r="137" spans="1:15" s="3" customFormat="1" ht="30.75" customHeight="1" x14ac:dyDescent="0.45">
      <c r="A137" s="3" t="s">
        <v>479</v>
      </c>
      <c r="B137" s="47">
        <v>13</v>
      </c>
      <c r="C137" s="7" t="s">
        <v>461</v>
      </c>
      <c r="D137" s="8" t="s">
        <v>462</v>
      </c>
      <c r="E137" s="18">
        <v>32</v>
      </c>
      <c r="F137" s="18">
        <f>6+4</f>
        <v>10</v>
      </c>
      <c r="G137" s="18">
        <f>2+2+1</f>
        <v>5</v>
      </c>
      <c r="H137" s="18">
        <v>0</v>
      </c>
      <c r="I137" s="18">
        <v>0</v>
      </c>
      <c r="J137" s="18">
        <v>0</v>
      </c>
      <c r="K137" s="19">
        <f t="shared" si="16"/>
        <v>17</v>
      </c>
      <c r="L137" s="19">
        <v>4</v>
      </c>
      <c r="M137" s="19">
        <f t="shared" si="17"/>
        <v>13</v>
      </c>
      <c r="N137" s="59">
        <f t="shared" si="18"/>
        <v>0.23529411764705882</v>
      </c>
      <c r="O137" s="60" t="s">
        <v>496</v>
      </c>
    </row>
    <row r="138" spans="1:15" s="3" customFormat="1" ht="30.75" customHeight="1" x14ac:dyDescent="0.45">
      <c r="A138" s="3" t="s">
        <v>479</v>
      </c>
      <c r="B138" s="47">
        <v>14</v>
      </c>
      <c r="C138" s="7" t="s">
        <v>467</v>
      </c>
      <c r="D138" s="8" t="s">
        <v>468</v>
      </c>
      <c r="E138" s="18">
        <f>21+16</f>
        <v>37</v>
      </c>
      <c r="F138" s="18">
        <v>8</v>
      </c>
      <c r="G138" s="18">
        <v>2</v>
      </c>
      <c r="H138" s="18">
        <f>2+4</f>
        <v>6</v>
      </c>
      <c r="I138" s="18">
        <v>0</v>
      </c>
      <c r="J138" s="18">
        <v>0</v>
      </c>
      <c r="K138" s="19">
        <f t="shared" si="16"/>
        <v>21</v>
      </c>
      <c r="L138" s="19">
        <f>1+4</f>
        <v>5</v>
      </c>
      <c r="M138" s="19">
        <f t="shared" si="17"/>
        <v>16</v>
      </c>
      <c r="N138" s="59">
        <f t="shared" si="18"/>
        <v>0.23809523809523808</v>
      </c>
      <c r="O138" s="60" t="s">
        <v>496</v>
      </c>
    </row>
    <row r="139" spans="1:15" s="3" customFormat="1" ht="30.75" customHeight="1" x14ac:dyDescent="0.45">
      <c r="A139" s="3" t="s">
        <v>479</v>
      </c>
      <c r="B139" s="47">
        <v>15</v>
      </c>
      <c r="C139" s="7" t="s">
        <v>108</v>
      </c>
      <c r="D139" s="8" t="s">
        <v>109</v>
      </c>
      <c r="E139" s="18">
        <f>72+8</f>
        <v>80</v>
      </c>
      <c r="F139" s="18">
        <f>0+12+12</f>
        <v>24</v>
      </c>
      <c r="G139" s="18">
        <v>4</v>
      </c>
      <c r="H139" s="18">
        <f>2+8+16</f>
        <v>26</v>
      </c>
      <c r="I139" s="18">
        <v>1</v>
      </c>
      <c r="J139" s="18">
        <v>0</v>
      </c>
      <c r="K139" s="19">
        <f t="shared" si="16"/>
        <v>25</v>
      </c>
      <c r="L139" s="19">
        <v>6</v>
      </c>
      <c r="M139" s="19">
        <f t="shared" si="17"/>
        <v>19</v>
      </c>
      <c r="N139" s="59">
        <f t="shared" si="18"/>
        <v>0.24</v>
      </c>
      <c r="O139" s="60" t="s">
        <v>496</v>
      </c>
    </row>
    <row r="140" spans="1:15" s="3" customFormat="1" ht="30.75" customHeight="1" x14ac:dyDescent="0.45">
      <c r="A140" s="3" t="s">
        <v>479</v>
      </c>
      <c r="B140" s="47">
        <v>16</v>
      </c>
      <c r="C140" s="7" t="s">
        <v>443</v>
      </c>
      <c r="D140" s="8" t="s">
        <v>444</v>
      </c>
      <c r="E140" s="18">
        <v>30</v>
      </c>
      <c r="F140" s="18">
        <v>0</v>
      </c>
      <c r="G140" s="18">
        <v>2</v>
      </c>
      <c r="H140" s="18">
        <v>0</v>
      </c>
      <c r="I140" s="18">
        <v>0</v>
      </c>
      <c r="J140" s="18">
        <v>4</v>
      </c>
      <c r="K140" s="19">
        <f t="shared" si="16"/>
        <v>24</v>
      </c>
      <c r="L140" s="19">
        <v>6</v>
      </c>
      <c r="M140" s="19">
        <f t="shared" si="17"/>
        <v>18</v>
      </c>
      <c r="N140" s="59">
        <f t="shared" si="18"/>
        <v>0.25</v>
      </c>
      <c r="O140" s="60" t="s">
        <v>496</v>
      </c>
    </row>
    <row r="141" spans="1:15" s="3" customFormat="1" ht="30.75" customHeight="1" x14ac:dyDescent="0.45">
      <c r="A141" s="3" t="s">
        <v>479</v>
      </c>
      <c r="B141" s="47">
        <v>17</v>
      </c>
      <c r="C141" s="7" t="s">
        <v>407</v>
      </c>
      <c r="D141" s="8" t="s">
        <v>408</v>
      </c>
      <c r="E141" s="18">
        <v>140</v>
      </c>
      <c r="F141" s="18">
        <f>0+20</f>
        <v>20</v>
      </c>
      <c r="G141" s="18">
        <v>4</v>
      </c>
      <c r="H141" s="18">
        <f>4+20</f>
        <v>24</v>
      </c>
      <c r="I141" s="18">
        <v>0</v>
      </c>
      <c r="J141" s="18">
        <v>0</v>
      </c>
      <c r="K141" s="19">
        <f t="shared" si="16"/>
        <v>92</v>
      </c>
      <c r="L141" s="19">
        <v>24</v>
      </c>
      <c r="M141" s="19">
        <f t="shared" si="17"/>
        <v>68</v>
      </c>
      <c r="N141" s="20">
        <f t="shared" si="18"/>
        <v>0.2608695652173913</v>
      </c>
      <c r="O141" s="22" t="s">
        <v>497</v>
      </c>
    </row>
    <row r="142" spans="1:15" s="3" customFormat="1" ht="30.75" customHeight="1" x14ac:dyDescent="0.45">
      <c r="A142" s="3" t="s">
        <v>479</v>
      </c>
      <c r="B142" s="47">
        <v>18</v>
      </c>
      <c r="C142" s="7" t="s">
        <v>112</v>
      </c>
      <c r="D142" s="8" t="s">
        <v>113</v>
      </c>
      <c r="E142" s="18">
        <f>60+16</f>
        <v>76</v>
      </c>
      <c r="F142" s="18">
        <f>0+12</f>
        <v>12</v>
      </c>
      <c r="G142" s="18">
        <f>4+4+16</f>
        <v>24</v>
      </c>
      <c r="H142" s="18">
        <f>2+16</f>
        <v>18</v>
      </c>
      <c r="I142" s="18">
        <v>1</v>
      </c>
      <c r="J142" s="18">
        <v>0</v>
      </c>
      <c r="K142" s="19">
        <f t="shared" si="16"/>
        <v>21</v>
      </c>
      <c r="L142" s="19">
        <v>6</v>
      </c>
      <c r="M142" s="19">
        <f t="shared" si="17"/>
        <v>15</v>
      </c>
      <c r="N142" s="20">
        <f t="shared" si="18"/>
        <v>0.2857142857142857</v>
      </c>
      <c r="O142" s="22" t="s">
        <v>497</v>
      </c>
    </row>
    <row r="143" spans="1:15" s="3" customFormat="1" ht="30.75" customHeight="1" x14ac:dyDescent="0.45">
      <c r="A143" s="3" t="s">
        <v>479</v>
      </c>
      <c r="B143" s="47">
        <v>19</v>
      </c>
      <c r="C143" s="7" t="s">
        <v>425</v>
      </c>
      <c r="D143" s="8" t="s">
        <v>426</v>
      </c>
      <c r="E143" s="18">
        <f>76+4</f>
        <v>80</v>
      </c>
      <c r="F143" s="18">
        <f>0+4+16</f>
        <v>20</v>
      </c>
      <c r="G143" s="18">
        <v>10</v>
      </c>
      <c r="H143" s="18">
        <f>2+20</f>
        <v>22</v>
      </c>
      <c r="I143" s="18">
        <v>0</v>
      </c>
      <c r="J143" s="18">
        <v>0</v>
      </c>
      <c r="K143" s="19">
        <f t="shared" si="16"/>
        <v>28</v>
      </c>
      <c r="L143" s="19">
        <v>8</v>
      </c>
      <c r="M143" s="19">
        <f t="shared" si="17"/>
        <v>20</v>
      </c>
      <c r="N143" s="20">
        <f t="shared" si="18"/>
        <v>0.2857142857142857</v>
      </c>
      <c r="O143" s="22" t="s">
        <v>497</v>
      </c>
    </row>
    <row r="144" spans="1:15" s="3" customFormat="1" ht="30.75" customHeight="1" x14ac:dyDescent="0.45">
      <c r="A144" s="3" t="s">
        <v>479</v>
      </c>
      <c r="B144" s="47">
        <v>20</v>
      </c>
      <c r="C144" s="7" t="s">
        <v>100</v>
      </c>
      <c r="D144" s="8" t="s">
        <v>101</v>
      </c>
      <c r="E144" s="18">
        <f>112+4</f>
        <v>116</v>
      </c>
      <c r="F144" s="18">
        <f>0+20+4+12+8</f>
        <v>44</v>
      </c>
      <c r="G144" s="18">
        <f>4+4</f>
        <v>8</v>
      </c>
      <c r="H144" s="18">
        <f>2+12+12</f>
        <v>26</v>
      </c>
      <c r="I144" s="18">
        <v>1</v>
      </c>
      <c r="J144" s="18">
        <v>0</v>
      </c>
      <c r="K144" s="19">
        <f t="shared" si="16"/>
        <v>37</v>
      </c>
      <c r="L144" s="19">
        <v>11</v>
      </c>
      <c r="M144" s="19">
        <f t="shared" si="17"/>
        <v>26</v>
      </c>
      <c r="N144" s="20">
        <f t="shared" si="18"/>
        <v>0.29729729729729731</v>
      </c>
      <c r="O144" s="22" t="s">
        <v>497</v>
      </c>
    </row>
    <row r="145" spans="1:15" s="3" customFormat="1" ht="30.75" customHeight="1" x14ac:dyDescent="0.45">
      <c r="A145" s="3" t="s">
        <v>479</v>
      </c>
      <c r="B145" s="47">
        <v>21</v>
      </c>
      <c r="C145" s="7" t="s">
        <v>455</v>
      </c>
      <c r="D145" s="8" t="s">
        <v>456</v>
      </c>
      <c r="E145" s="18">
        <f>14+12</f>
        <v>26</v>
      </c>
      <c r="F145" s="18">
        <v>12</v>
      </c>
      <c r="G145" s="18">
        <v>2</v>
      </c>
      <c r="H145" s="18">
        <v>2</v>
      </c>
      <c r="I145" s="18">
        <v>0</v>
      </c>
      <c r="J145" s="18">
        <v>0</v>
      </c>
      <c r="K145" s="19">
        <f t="shared" si="16"/>
        <v>10</v>
      </c>
      <c r="L145" s="19">
        <v>3</v>
      </c>
      <c r="M145" s="19">
        <f t="shared" si="17"/>
        <v>7</v>
      </c>
      <c r="N145" s="20">
        <f t="shared" si="18"/>
        <v>0.3</v>
      </c>
      <c r="O145" s="22" t="s">
        <v>497</v>
      </c>
    </row>
    <row r="146" spans="1:15" s="3" customFormat="1" ht="30.75" customHeight="1" x14ac:dyDescent="0.45">
      <c r="A146" s="3" t="s">
        <v>479</v>
      </c>
      <c r="B146" s="47">
        <v>22</v>
      </c>
      <c r="C146" s="7" t="s">
        <v>134</v>
      </c>
      <c r="D146" s="8" t="s">
        <v>135</v>
      </c>
      <c r="E146" s="18">
        <v>135</v>
      </c>
      <c r="F146" s="18">
        <v>32</v>
      </c>
      <c r="G146" s="18">
        <f>4+20</f>
        <v>24</v>
      </c>
      <c r="H146" s="18">
        <f>4+8+4+4+12</f>
        <v>32</v>
      </c>
      <c r="I146" s="18">
        <v>1</v>
      </c>
      <c r="J146" s="18">
        <v>0</v>
      </c>
      <c r="K146" s="19">
        <f t="shared" si="16"/>
        <v>46</v>
      </c>
      <c r="L146" s="19">
        <v>14</v>
      </c>
      <c r="M146" s="19">
        <f t="shared" si="17"/>
        <v>32</v>
      </c>
      <c r="N146" s="20">
        <f t="shared" si="18"/>
        <v>0.30434782608695654</v>
      </c>
      <c r="O146" s="22" t="s">
        <v>497</v>
      </c>
    </row>
    <row r="147" spans="1:15" s="3" customFormat="1" ht="30.75" customHeight="1" x14ac:dyDescent="0.45">
      <c r="A147" s="3" t="s">
        <v>479</v>
      </c>
      <c r="B147" s="47">
        <v>23</v>
      </c>
      <c r="C147" s="7" t="s">
        <v>124</v>
      </c>
      <c r="D147" s="8" t="s">
        <v>125</v>
      </c>
      <c r="E147" s="18">
        <v>132</v>
      </c>
      <c r="F147" s="18">
        <f>0+4+20</f>
        <v>24</v>
      </c>
      <c r="G147" s="18">
        <v>16</v>
      </c>
      <c r="H147" s="18">
        <f>4+20</f>
        <v>24</v>
      </c>
      <c r="I147" s="18">
        <v>1</v>
      </c>
      <c r="J147" s="18">
        <v>0</v>
      </c>
      <c r="K147" s="19">
        <f t="shared" si="16"/>
        <v>67</v>
      </c>
      <c r="L147" s="19">
        <v>22</v>
      </c>
      <c r="M147" s="19">
        <f t="shared" si="17"/>
        <v>45</v>
      </c>
      <c r="N147" s="20">
        <f t="shared" si="18"/>
        <v>0.32835820895522388</v>
      </c>
      <c r="O147" s="22" t="s">
        <v>497</v>
      </c>
    </row>
    <row r="148" spans="1:15" s="3" customFormat="1" ht="30.75" customHeight="1" x14ac:dyDescent="0.45">
      <c r="A148" s="3" t="s">
        <v>479</v>
      </c>
      <c r="B148" s="47">
        <v>24</v>
      </c>
      <c r="C148" s="7" t="s">
        <v>427</v>
      </c>
      <c r="D148" s="8" t="s">
        <v>428</v>
      </c>
      <c r="E148" s="18">
        <f>76+4</f>
        <v>80</v>
      </c>
      <c r="F148" s="18">
        <f>0+20</f>
        <v>20</v>
      </c>
      <c r="G148" s="18">
        <f>4+2+8</f>
        <v>14</v>
      </c>
      <c r="H148" s="18">
        <f>2+20</f>
        <v>22</v>
      </c>
      <c r="I148" s="18">
        <v>0</v>
      </c>
      <c r="J148" s="18">
        <v>0</v>
      </c>
      <c r="K148" s="19">
        <f t="shared" si="16"/>
        <v>24</v>
      </c>
      <c r="L148" s="19">
        <v>8</v>
      </c>
      <c r="M148" s="19">
        <f t="shared" si="17"/>
        <v>16</v>
      </c>
      <c r="N148" s="20">
        <f t="shared" si="18"/>
        <v>0.33333333333333331</v>
      </c>
      <c r="O148" s="22" t="s">
        <v>497</v>
      </c>
    </row>
    <row r="149" spans="1:15" s="3" customFormat="1" ht="30.75" customHeight="1" x14ac:dyDescent="0.45">
      <c r="A149" s="3" t="s">
        <v>479</v>
      </c>
      <c r="B149" s="47">
        <v>25</v>
      </c>
      <c r="C149" s="7" t="s">
        <v>130</v>
      </c>
      <c r="D149" s="8" t="s">
        <v>131</v>
      </c>
      <c r="E149" s="18">
        <f>61+16</f>
        <v>77</v>
      </c>
      <c r="F149" s="18">
        <f>0+12</f>
        <v>12</v>
      </c>
      <c r="G149" s="18">
        <f>4+4+16</f>
        <v>24</v>
      </c>
      <c r="H149" s="18">
        <f>2+12</f>
        <v>14</v>
      </c>
      <c r="I149" s="18">
        <v>1</v>
      </c>
      <c r="J149" s="18">
        <v>0</v>
      </c>
      <c r="K149" s="19">
        <f t="shared" si="16"/>
        <v>26</v>
      </c>
      <c r="L149" s="19">
        <v>9</v>
      </c>
      <c r="M149" s="19">
        <f t="shared" si="17"/>
        <v>17</v>
      </c>
      <c r="N149" s="20">
        <f t="shared" si="18"/>
        <v>0.34615384615384615</v>
      </c>
      <c r="O149" s="22" t="s">
        <v>497</v>
      </c>
    </row>
    <row r="150" spans="1:15" s="3" customFormat="1" ht="30.75" customHeight="1" x14ac:dyDescent="0.45">
      <c r="A150" s="3" t="s">
        <v>479</v>
      </c>
      <c r="B150" s="47">
        <v>26</v>
      </c>
      <c r="C150" s="7" t="s">
        <v>116</v>
      </c>
      <c r="D150" s="8" t="s">
        <v>117</v>
      </c>
      <c r="E150" s="18">
        <v>140</v>
      </c>
      <c r="F150" s="18">
        <f>0+4+4+16+20</f>
        <v>44</v>
      </c>
      <c r="G150" s="18">
        <f>4+20</f>
        <v>24</v>
      </c>
      <c r="H150" s="18">
        <f>4+8+6+4+12</f>
        <v>34</v>
      </c>
      <c r="I150" s="18">
        <v>1</v>
      </c>
      <c r="J150" s="18">
        <v>0</v>
      </c>
      <c r="K150" s="19">
        <f t="shared" si="16"/>
        <v>37</v>
      </c>
      <c r="L150" s="19">
        <v>13</v>
      </c>
      <c r="M150" s="19">
        <f t="shared" si="17"/>
        <v>24</v>
      </c>
      <c r="N150" s="20">
        <f t="shared" si="18"/>
        <v>0.35135135135135137</v>
      </c>
      <c r="O150" s="22" t="s">
        <v>497</v>
      </c>
    </row>
    <row r="151" spans="1:15" s="3" customFormat="1" ht="30.75" customHeight="1" x14ac:dyDescent="0.45">
      <c r="A151" s="3" t="s">
        <v>479</v>
      </c>
      <c r="B151" s="47">
        <v>27</v>
      </c>
      <c r="C151" s="7" t="s">
        <v>106</v>
      </c>
      <c r="D151" s="8" t="s">
        <v>107</v>
      </c>
      <c r="E151" s="18">
        <v>136</v>
      </c>
      <c r="F151" s="18">
        <f>0+4+12+12</f>
        <v>28</v>
      </c>
      <c r="G151" s="18">
        <v>16</v>
      </c>
      <c r="H151" s="18">
        <f>4+20</f>
        <v>24</v>
      </c>
      <c r="I151" s="18">
        <v>1</v>
      </c>
      <c r="J151" s="18">
        <v>0</v>
      </c>
      <c r="K151" s="19">
        <f t="shared" si="16"/>
        <v>67</v>
      </c>
      <c r="L151" s="19">
        <v>24</v>
      </c>
      <c r="M151" s="19">
        <f t="shared" si="17"/>
        <v>43</v>
      </c>
      <c r="N151" s="20">
        <f t="shared" si="18"/>
        <v>0.35820895522388058</v>
      </c>
      <c r="O151" s="22" t="s">
        <v>497</v>
      </c>
    </row>
    <row r="152" spans="1:15" s="3" customFormat="1" ht="30.75" customHeight="1" x14ac:dyDescent="0.45">
      <c r="A152" s="3" t="s">
        <v>479</v>
      </c>
      <c r="B152" s="47">
        <v>28</v>
      </c>
      <c r="C152" s="7" t="s">
        <v>413</v>
      </c>
      <c r="D152" s="8" t="s">
        <v>414</v>
      </c>
      <c r="E152" s="18">
        <v>240</v>
      </c>
      <c r="F152" s="18">
        <f>0+30+10+10+20</f>
        <v>70</v>
      </c>
      <c r="G152" s="18">
        <f>4+10</f>
        <v>14</v>
      </c>
      <c r="H152" s="18">
        <v>74</v>
      </c>
      <c r="I152" s="18">
        <v>0</v>
      </c>
      <c r="J152" s="18">
        <v>0</v>
      </c>
      <c r="K152" s="19">
        <f t="shared" si="16"/>
        <v>82</v>
      </c>
      <c r="L152" s="19">
        <v>31</v>
      </c>
      <c r="M152" s="19">
        <f t="shared" si="17"/>
        <v>51</v>
      </c>
      <c r="N152" s="20">
        <f t="shared" si="18"/>
        <v>0.37804878048780488</v>
      </c>
      <c r="O152" s="22" t="s">
        <v>497</v>
      </c>
    </row>
    <row r="153" spans="1:15" s="3" customFormat="1" ht="30.75" customHeight="1" x14ac:dyDescent="0.45">
      <c r="A153" s="3" t="s">
        <v>479</v>
      </c>
      <c r="B153" s="47">
        <v>29</v>
      </c>
      <c r="C153" s="7" t="s">
        <v>417</v>
      </c>
      <c r="D153" s="8" t="s">
        <v>418</v>
      </c>
      <c r="E153" s="18">
        <v>130</v>
      </c>
      <c r="F153" s="18">
        <f>0+10+16</f>
        <v>26</v>
      </c>
      <c r="G153" s="18">
        <f>4+4</f>
        <v>8</v>
      </c>
      <c r="H153" s="18">
        <f>4+8+40</f>
        <v>52</v>
      </c>
      <c r="I153" s="18">
        <v>0</v>
      </c>
      <c r="J153" s="18">
        <v>0</v>
      </c>
      <c r="K153" s="19">
        <f t="shared" si="16"/>
        <v>44</v>
      </c>
      <c r="L153" s="19">
        <v>17</v>
      </c>
      <c r="M153" s="19">
        <f t="shared" si="17"/>
        <v>27</v>
      </c>
      <c r="N153" s="20">
        <f t="shared" si="18"/>
        <v>0.38636363636363635</v>
      </c>
      <c r="O153" s="22" t="s">
        <v>497</v>
      </c>
    </row>
    <row r="154" spans="1:15" s="3" customFormat="1" ht="30.75" customHeight="1" x14ac:dyDescent="0.45">
      <c r="A154" s="3" t="s">
        <v>479</v>
      </c>
      <c r="B154" s="47">
        <v>30</v>
      </c>
      <c r="C154" s="7" t="s">
        <v>435</v>
      </c>
      <c r="D154" s="8" t="s">
        <v>436</v>
      </c>
      <c r="E154" s="30">
        <f>114+8</f>
        <v>122</v>
      </c>
      <c r="F154" s="18">
        <f>0+4+4+16</f>
        <v>24</v>
      </c>
      <c r="G154" s="18">
        <f>4+12</f>
        <v>16</v>
      </c>
      <c r="H154" s="18">
        <f>4+8+12+8+8+4</f>
        <v>44</v>
      </c>
      <c r="I154" s="18">
        <v>0</v>
      </c>
      <c r="J154" s="18">
        <v>0</v>
      </c>
      <c r="K154" s="19">
        <f t="shared" si="16"/>
        <v>38</v>
      </c>
      <c r="L154" s="19">
        <v>15</v>
      </c>
      <c r="M154" s="19">
        <f t="shared" si="17"/>
        <v>23</v>
      </c>
      <c r="N154" s="20">
        <f t="shared" si="18"/>
        <v>0.39473684210526316</v>
      </c>
      <c r="O154" s="22" t="s">
        <v>497</v>
      </c>
    </row>
    <row r="155" spans="1:15" s="3" customFormat="1" ht="30.75" customHeight="1" x14ac:dyDescent="0.45">
      <c r="A155" s="3" t="s">
        <v>479</v>
      </c>
      <c r="B155" s="47">
        <v>31</v>
      </c>
      <c r="C155" s="7" t="s">
        <v>453</v>
      </c>
      <c r="D155" s="8" t="s">
        <v>454</v>
      </c>
      <c r="E155" s="18">
        <f>18+12</f>
        <v>30</v>
      </c>
      <c r="F155" s="18">
        <v>12</v>
      </c>
      <c r="G155" s="18">
        <f>2+4</f>
        <v>6</v>
      </c>
      <c r="H155" s="18">
        <v>2</v>
      </c>
      <c r="I155" s="18">
        <v>0</v>
      </c>
      <c r="J155" s="18">
        <v>0</v>
      </c>
      <c r="K155" s="19">
        <f t="shared" si="16"/>
        <v>10</v>
      </c>
      <c r="L155" s="19">
        <v>4</v>
      </c>
      <c r="M155" s="19">
        <f t="shared" si="17"/>
        <v>6</v>
      </c>
      <c r="N155" s="20">
        <f t="shared" si="18"/>
        <v>0.4</v>
      </c>
      <c r="O155" s="22" t="s">
        <v>497</v>
      </c>
    </row>
    <row r="156" spans="1:15" s="3" customFormat="1" ht="30.75" customHeight="1" x14ac:dyDescent="0.45">
      <c r="A156" s="3" t="s">
        <v>479</v>
      </c>
      <c r="B156" s="47">
        <v>32</v>
      </c>
      <c r="C156" s="7" t="s">
        <v>441</v>
      </c>
      <c r="D156" s="8" t="s">
        <v>442</v>
      </c>
      <c r="E156" s="18">
        <v>30</v>
      </c>
      <c r="F156" s="18">
        <f>0+4+5</f>
        <v>9</v>
      </c>
      <c r="G156" s="18">
        <v>7</v>
      </c>
      <c r="H156" s="18">
        <f>2+2</f>
        <v>4</v>
      </c>
      <c r="I156" s="18">
        <v>0</v>
      </c>
      <c r="J156" s="18">
        <v>0</v>
      </c>
      <c r="K156" s="19">
        <f t="shared" si="16"/>
        <v>10</v>
      </c>
      <c r="L156" s="19">
        <f>3+1</f>
        <v>4</v>
      </c>
      <c r="M156" s="19">
        <f t="shared" si="17"/>
        <v>6</v>
      </c>
      <c r="N156" s="20">
        <f t="shared" si="18"/>
        <v>0.4</v>
      </c>
      <c r="O156" s="22" t="s">
        <v>497</v>
      </c>
    </row>
    <row r="157" spans="1:15" s="3" customFormat="1" ht="30.75" customHeight="1" x14ac:dyDescent="0.45">
      <c r="A157" s="3" t="s">
        <v>479</v>
      </c>
      <c r="B157" s="47">
        <v>33</v>
      </c>
      <c r="C157" s="7" t="s">
        <v>419</v>
      </c>
      <c r="D157" s="8" t="s">
        <v>420</v>
      </c>
      <c r="E157" s="18">
        <f>86+20</f>
        <v>106</v>
      </c>
      <c r="F157" s="18">
        <f>0+8+10+6</f>
        <v>24</v>
      </c>
      <c r="G157" s="18">
        <f>4+2</f>
        <v>6</v>
      </c>
      <c r="H157" s="18">
        <f>4+10+20+10</f>
        <v>44</v>
      </c>
      <c r="I157" s="18">
        <v>0</v>
      </c>
      <c r="J157" s="18">
        <v>0</v>
      </c>
      <c r="K157" s="19">
        <f t="shared" ref="K157:K178" si="19">E157-F157-G157-H157-I157-J157</f>
        <v>32</v>
      </c>
      <c r="L157" s="19">
        <v>13</v>
      </c>
      <c r="M157" s="19">
        <f t="shared" ref="M157:M178" si="20">K157-L157</f>
        <v>19</v>
      </c>
      <c r="N157" s="20">
        <f t="shared" ref="N157:N178" si="21">L157/K157</f>
        <v>0.40625</v>
      </c>
      <c r="O157" s="22" t="s">
        <v>497</v>
      </c>
    </row>
    <row r="158" spans="1:15" s="3" customFormat="1" ht="30.75" customHeight="1" x14ac:dyDescent="0.45">
      <c r="A158" s="3" t="s">
        <v>479</v>
      </c>
      <c r="B158" s="47">
        <v>34</v>
      </c>
      <c r="C158" s="7" t="s">
        <v>431</v>
      </c>
      <c r="D158" s="8" t="s">
        <v>432</v>
      </c>
      <c r="E158" s="18">
        <f>98+12</f>
        <v>110</v>
      </c>
      <c r="F158" s="18">
        <f>0+20+12+12+8</f>
        <v>52</v>
      </c>
      <c r="G158" s="18">
        <v>4</v>
      </c>
      <c r="H158" s="18">
        <f>2+16+8+4</f>
        <v>30</v>
      </c>
      <c r="I158" s="18">
        <v>0</v>
      </c>
      <c r="J158" s="18">
        <v>0</v>
      </c>
      <c r="K158" s="19">
        <f t="shared" si="19"/>
        <v>24</v>
      </c>
      <c r="L158" s="19">
        <v>10</v>
      </c>
      <c r="M158" s="19">
        <f t="shared" si="20"/>
        <v>14</v>
      </c>
      <c r="N158" s="20">
        <f t="shared" si="21"/>
        <v>0.41666666666666669</v>
      </c>
      <c r="O158" s="22" t="s">
        <v>497</v>
      </c>
    </row>
    <row r="159" spans="1:15" s="3" customFormat="1" ht="30.75" customHeight="1" x14ac:dyDescent="0.45">
      <c r="A159" s="3" t="s">
        <v>479</v>
      </c>
      <c r="B159" s="48">
        <v>35</v>
      </c>
      <c r="C159" s="7" t="s">
        <v>429</v>
      </c>
      <c r="D159" s="8" t="s">
        <v>430</v>
      </c>
      <c r="E159" s="18">
        <f>98+12</f>
        <v>110</v>
      </c>
      <c r="F159" s="18">
        <f>0+20+12+4+8</f>
        <v>44</v>
      </c>
      <c r="G159" s="18">
        <f>4+4</f>
        <v>8</v>
      </c>
      <c r="H159" s="18">
        <f>2+12+20</f>
        <v>34</v>
      </c>
      <c r="I159" s="18">
        <v>0</v>
      </c>
      <c r="J159" s="18">
        <v>0</v>
      </c>
      <c r="K159" s="19">
        <f t="shared" si="19"/>
        <v>24</v>
      </c>
      <c r="L159" s="19">
        <v>10</v>
      </c>
      <c r="M159" s="19">
        <f t="shared" si="20"/>
        <v>14</v>
      </c>
      <c r="N159" s="20">
        <f t="shared" si="21"/>
        <v>0.41666666666666669</v>
      </c>
      <c r="O159" s="22" t="s">
        <v>497</v>
      </c>
    </row>
    <row r="160" spans="1:15" s="3" customFormat="1" ht="30.75" customHeight="1" x14ac:dyDescent="0.45">
      <c r="A160" s="3" t="s">
        <v>479</v>
      </c>
      <c r="B160" s="47">
        <v>36</v>
      </c>
      <c r="C160" s="7" t="s">
        <v>104</v>
      </c>
      <c r="D160" s="8" t="s">
        <v>105</v>
      </c>
      <c r="E160" s="18">
        <v>68</v>
      </c>
      <c r="F160" s="18">
        <f>0+8+12</f>
        <v>20</v>
      </c>
      <c r="G160" s="18">
        <v>8</v>
      </c>
      <c r="H160" s="18">
        <f>2+16</f>
        <v>18</v>
      </c>
      <c r="I160" s="18">
        <v>1</v>
      </c>
      <c r="J160" s="18">
        <v>0</v>
      </c>
      <c r="K160" s="19">
        <f t="shared" si="19"/>
        <v>21</v>
      </c>
      <c r="L160" s="19">
        <v>9</v>
      </c>
      <c r="M160" s="19">
        <f t="shared" si="20"/>
        <v>12</v>
      </c>
      <c r="N160" s="20">
        <f t="shared" si="21"/>
        <v>0.42857142857142855</v>
      </c>
      <c r="O160" s="22" t="s">
        <v>497</v>
      </c>
    </row>
    <row r="161" spans="1:15" s="3" customFormat="1" ht="30.75" customHeight="1" x14ac:dyDescent="0.45">
      <c r="A161" s="3" t="s">
        <v>479</v>
      </c>
      <c r="B161" s="47">
        <v>37</v>
      </c>
      <c r="C161" s="7" t="s">
        <v>102</v>
      </c>
      <c r="D161" s="8" t="s">
        <v>103</v>
      </c>
      <c r="E161" s="18">
        <f>112+40</f>
        <v>152</v>
      </c>
      <c r="F161" s="18">
        <f>0+16+8+8</f>
        <v>32</v>
      </c>
      <c r="G161" s="18">
        <f>4+8+32</f>
        <v>44</v>
      </c>
      <c r="H161" s="18">
        <v>46</v>
      </c>
      <c r="I161" s="18">
        <v>1</v>
      </c>
      <c r="J161" s="18">
        <v>0</v>
      </c>
      <c r="K161" s="19">
        <f t="shared" si="19"/>
        <v>29</v>
      </c>
      <c r="L161" s="19">
        <v>13</v>
      </c>
      <c r="M161" s="19">
        <f t="shared" si="20"/>
        <v>16</v>
      </c>
      <c r="N161" s="20">
        <f t="shared" si="21"/>
        <v>0.44827586206896552</v>
      </c>
      <c r="O161" s="22" t="s">
        <v>497</v>
      </c>
    </row>
    <row r="162" spans="1:15" s="3" customFormat="1" ht="30.75" customHeight="1" x14ac:dyDescent="0.45">
      <c r="A162" s="3" t="s">
        <v>479</v>
      </c>
      <c r="B162" s="47">
        <v>38</v>
      </c>
      <c r="C162" s="7" t="s">
        <v>415</v>
      </c>
      <c r="D162" s="8" t="s">
        <v>416</v>
      </c>
      <c r="E162" s="18">
        <v>226</v>
      </c>
      <c r="F162" s="18">
        <f>0+10+20</f>
        <v>30</v>
      </c>
      <c r="G162" s="18">
        <v>34</v>
      </c>
      <c r="H162" s="18">
        <f>4+20+20</f>
        <v>44</v>
      </c>
      <c r="I162" s="18">
        <f>0+2</f>
        <v>2</v>
      </c>
      <c r="J162" s="18">
        <v>0</v>
      </c>
      <c r="K162" s="19">
        <f t="shared" si="19"/>
        <v>116</v>
      </c>
      <c r="L162" s="19">
        <v>52</v>
      </c>
      <c r="M162" s="19">
        <f t="shared" si="20"/>
        <v>64</v>
      </c>
      <c r="N162" s="20">
        <f t="shared" si="21"/>
        <v>0.44827586206896552</v>
      </c>
      <c r="O162" s="22" t="s">
        <v>497</v>
      </c>
    </row>
    <row r="163" spans="1:15" s="3" customFormat="1" ht="30.75" customHeight="1" x14ac:dyDescent="0.45">
      <c r="A163" s="3" t="s">
        <v>479</v>
      </c>
      <c r="B163" s="47">
        <v>39</v>
      </c>
      <c r="C163" s="7" t="s">
        <v>120</v>
      </c>
      <c r="D163" s="8" t="s">
        <v>121</v>
      </c>
      <c r="E163" s="18">
        <f>120+40</f>
        <v>160</v>
      </c>
      <c r="F163" s="18">
        <f>0+16+8+12</f>
        <v>36</v>
      </c>
      <c r="G163" s="18">
        <f>4+8+32</f>
        <v>44</v>
      </c>
      <c r="H163" s="18">
        <v>48</v>
      </c>
      <c r="I163" s="18">
        <v>1</v>
      </c>
      <c r="J163" s="18">
        <v>0</v>
      </c>
      <c r="K163" s="19">
        <f t="shared" si="19"/>
        <v>31</v>
      </c>
      <c r="L163" s="19">
        <v>14</v>
      </c>
      <c r="M163" s="19">
        <f t="shared" si="20"/>
        <v>17</v>
      </c>
      <c r="N163" s="20">
        <f t="shared" si="21"/>
        <v>0.45161290322580644</v>
      </c>
      <c r="O163" s="22" t="s">
        <v>497</v>
      </c>
    </row>
    <row r="164" spans="1:15" s="3" customFormat="1" ht="30.75" customHeight="1" x14ac:dyDescent="0.45">
      <c r="A164" s="3" t="s">
        <v>479</v>
      </c>
      <c r="B164" s="47">
        <v>40</v>
      </c>
      <c r="C164" s="7" t="s">
        <v>114</v>
      </c>
      <c r="D164" s="8" t="s">
        <v>115</v>
      </c>
      <c r="E164" s="18">
        <v>68</v>
      </c>
      <c r="F164" s="18">
        <f>0+12</f>
        <v>12</v>
      </c>
      <c r="G164" s="18">
        <v>12</v>
      </c>
      <c r="H164" s="18">
        <f>2+8</f>
        <v>10</v>
      </c>
      <c r="I164" s="18">
        <v>1</v>
      </c>
      <c r="J164" s="18">
        <v>0</v>
      </c>
      <c r="K164" s="19">
        <f t="shared" si="19"/>
        <v>33</v>
      </c>
      <c r="L164" s="19">
        <v>16</v>
      </c>
      <c r="M164" s="19">
        <f t="shared" si="20"/>
        <v>17</v>
      </c>
      <c r="N164" s="20">
        <f t="shared" si="21"/>
        <v>0.48484848484848486</v>
      </c>
      <c r="O164" s="22" t="s">
        <v>497</v>
      </c>
    </row>
    <row r="165" spans="1:15" s="3" customFormat="1" ht="30.75" customHeight="1" x14ac:dyDescent="0.45">
      <c r="A165" s="3" t="s">
        <v>479</v>
      </c>
      <c r="B165" s="47">
        <v>41</v>
      </c>
      <c r="C165" s="7" t="s">
        <v>411</v>
      </c>
      <c r="D165" s="8" t="s">
        <v>412</v>
      </c>
      <c r="E165" s="18">
        <f>76+50</f>
        <v>126</v>
      </c>
      <c r="F165" s="18">
        <f>0+20+10</f>
        <v>30</v>
      </c>
      <c r="G165" s="18">
        <f>4+10</f>
        <v>14</v>
      </c>
      <c r="H165" s="18">
        <v>34</v>
      </c>
      <c r="I165" s="18">
        <v>0</v>
      </c>
      <c r="J165" s="18">
        <v>0</v>
      </c>
      <c r="K165" s="19">
        <f t="shared" si="19"/>
        <v>48</v>
      </c>
      <c r="L165" s="19">
        <v>24</v>
      </c>
      <c r="M165" s="19">
        <f t="shared" si="20"/>
        <v>24</v>
      </c>
      <c r="N165" s="20">
        <f t="shared" si="21"/>
        <v>0.5</v>
      </c>
      <c r="O165" s="22" t="s">
        <v>497</v>
      </c>
    </row>
    <row r="166" spans="1:15" s="3" customFormat="1" ht="32.25" customHeight="1" x14ac:dyDescent="0.45">
      <c r="A166" s="3" t="s">
        <v>479</v>
      </c>
      <c r="B166" s="47">
        <v>42</v>
      </c>
      <c r="C166" s="7" t="s">
        <v>110</v>
      </c>
      <c r="D166" s="8" t="s">
        <v>111</v>
      </c>
      <c r="E166" s="18">
        <f>120+28</f>
        <v>148</v>
      </c>
      <c r="F166" s="18">
        <f>0+12+4+4+16</f>
        <v>36</v>
      </c>
      <c r="G166" s="18">
        <v>4</v>
      </c>
      <c r="H166" s="18">
        <v>64</v>
      </c>
      <c r="I166" s="18">
        <v>1</v>
      </c>
      <c r="J166" s="18">
        <v>0</v>
      </c>
      <c r="K166" s="19">
        <f t="shared" si="19"/>
        <v>43</v>
      </c>
      <c r="L166" s="19">
        <v>22</v>
      </c>
      <c r="M166" s="29">
        <f t="shared" si="20"/>
        <v>21</v>
      </c>
      <c r="N166" s="23">
        <f t="shared" si="21"/>
        <v>0.51162790697674421</v>
      </c>
      <c r="O166" s="24" t="s">
        <v>498</v>
      </c>
    </row>
    <row r="167" spans="1:15" s="3" customFormat="1" ht="30.75" customHeight="1" x14ac:dyDescent="0.45">
      <c r="A167" s="3" t="s">
        <v>479</v>
      </c>
      <c r="B167" s="47">
        <v>43</v>
      </c>
      <c r="C167" s="7" t="s">
        <v>118</v>
      </c>
      <c r="D167" s="8" t="s">
        <v>119</v>
      </c>
      <c r="E167" s="18">
        <f>112+4</f>
        <v>116</v>
      </c>
      <c r="F167" s="18">
        <v>44</v>
      </c>
      <c r="G167" s="18">
        <f>4+8</f>
        <v>12</v>
      </c>
      <c r="H167" s="18">
        <f>2+12+12</f>
        <v>26</v>
      </c>
      <c r="I167" s="18">
        <v>1</v>
      </c>
      <c r="J167" s="18">
        <v>0</v>
      </c>
      <c r="K167" s="19">
        <f t="shared" si="19"/>
        <v>33</v>
      </c>
      <c r="L167" s="19">
        <v>17</v>
      </c>
      <c r="M167" s="19">
        <f t="shared" si="20"/>
        <v>16</v>
      </c>
      <c r="N167" s="23">
        <f t="shared" si="21"/>
        <v>0.51515151515151514</v>
      </c>
      <c r="O167" s="24" t="s">
        <v>498</v>
      </c>
    </row>
    <row r="168" spans="1:15" s="3" customFormat="1" ht="30.75" customHeight="1" x14ac:dyDescent="0.45">
      <c r="A168" s="3" t="s">
        <v>479</v>
      </c>
      <c r="B168" s="47">
        <v>44</v>
      </c>
      <c r="C168" s="7" t="s">
        <v>132</v>
      </c>
      <c r="D168" s="8" t="s">
        <v>133</v>
      </c>
      <c r="E168" s="18">
        <v>68</v>
      </c>
      <c r="F168" s="18">
        <f>0+4+12</f>
        <v>16</v>
      </c>
      <c r="G168" s="18">
        <v>12</v>
      </c>
      <c r="H168" s="18">
        <f>2+8</f>
        <v>10</v>
      </c>
      <c r="I168" s="18">
        <v>1</v>
      </c>
      <c r="J168" s="18">
        <v>0</v>
      </c>
      <c r="K168" s="19">
        <f t="shared" si="19"/>
        <v>29</v>
      </c>
      <c r="L168" s="19">
        <v>15</v>
      </c>
      <c r="M168" s="19">
        <f t="shared" si="20"/>
        <v>14</v>
      </c>
      <c r="N168" s="23">
        <f t="shared" si="21"/>
        <v>0.51724137931034486</v>
      </c>
      <c r="O168" s="24" t="s">
        <v>498</v>
      </c>
    </row>
    <row r="169" spans="1:15" s="3" customFormat="1" ht="30.75" customHeight="1" x14ac:dyDescent="0.45">
      <c r="A169" s="3" t="s">
        <v>479</v>
      </c>
      <c r="B169" s="47">
        <v>45</v>
      </c>
      <c r="C169" s="7" t="s">
        <v>409</v>
      </c>
      <c r="D169" s="8" t="s">
        <v>410</v>
      </c>
      <c r="E169" s="18">
        <f>99+40</f>
        <v>139</v>
      </c>
      <c r="F169" s="18">
        <f>0+20+20+10+4</f>
        <v>54</v>
      </c>
      <c r="G169" s="18">
        <v>4</v>
      </c>
      <c r="H169" s="18">
        <v>58</v>
      </c>
      <c r="I169" s="18">
        <v>0</v>
      </c>
      <c r="J169" s="18">
        <v>0</v>
      </c>
      <c r="K169" s="19">
        <f t="shared" si="19"/>
        <v>23</v>
      </c>
      <c r="L169" s="19">
        <v>12</v>
      </c>
      <c r="M169" s="19">
        <f t="shared" si="20"/>
        <v>11</v>
      </c>
      <c r="N169" s="23">
        <f t="shared" si="21"/>
        <v>0.52173913043478259</v>
      </c>
      <c r="O169" s="24" t="s">
        <v>498</v>
      </c>
    </row>
    <row r="170" spans="1:15" s="3" customFormat="1" ht="30.75" customHeight="1" x14ac:dyDescent="0.45">
      <c r="A170" s="3" t="s">
        <v>479</v>
      </c>
      <c r="B170" s="47">
        <v>46</v>
      </c>
      <c r="C170" s="7" t="s">
        <v>437</v>
      </c>
      <c r="D170" s="8" t="s">
        <v>438</v>
      </c>
      <c r="E170" s="18">
        <v>143</v>
      </c>
      <c r="F170" s="18">
        <f>0+4</f>
        <v>4</v>
      </c>
      <c r="G170" s="18">
        <v>40</v>
      </c>
      <c r="H170" s="18">
        <f>4+8+12+8+4</f>
        <v>36</v>
      </c>
      <c r="I170" s="18">
        <v>0</v>
      </c>
      <c r="J170" s="18">
        <v>0</v>
      </c>
      <c r="K170" s="19">
        <f t="shared" si="19"/>
        <v>63</v>
      </c>
      <c r="L170" s="19">
        <v>33</v>
      </c>
      <c r="M170" s="19">
        <f t="shared" si="20"/>
        <v>30</v>
      </c>
      <c r="N170" s="23">
        <f t="shared" si="21"/>
        <v>0.52380952380952384</v>
      </c>
      <c r="O170" s="24" t="s">
        <v>498</v>
      </c>
    </row>
    <row r="171" spans="1:15" s="3" customFormat="1" ht="30.75" customHeight="1" x14ac:dyDescent="0.45">
      <c r="A171" s="3" t="s">
        <v>479</v>
      </c>
      <c r="B171" s="47">
        <v>47</v>
      </c>
      <c r="C171" s="7" t="s">
        <v>122</v>
      </c>
      <c r="D171" s="8" t="s">
        <v>123</v>
      </c>
      <c r="E171" s="18">
        <v>68</v>
      </c>
      <c r="F171" s="18">
        <f>0+8+8+8</f>
        <v>24</v>
      </c>
      <c r="G171" s="18">
        <f>2+4</f>
        <v>6</v>
      </c>
      <c r="H171" s="18">
        <f>2+16</f>
        <v>18</v>
      </c>
      <c r="I171" s="18">
        <v>1</v>
      </c>
      <c r="J171" s="18">
        <v>0</v>
      </c>
      <c r="K171" s="19">
        <f t="shared" si="19"/>
        <v>19</v>
      </c>
      <c r="L171" s="19">
        <v>10</v>
      </c>
      <c r="M171" s="19">
        <f t="shared" si="20"/>
        <v>9</v>
      </c>
      <c r="N171" s="23">
        <f t="shared" si="21"/>
        <v>0.52631578947368418</v>
      </c>
      <c r="O171" s="24" t="s">
        <v>498</v>
      </c>
    </row>
    <row r="172" spans="1:15" s="3" customFormat="1" ht="30.75" customHeight="1" x14ac:dyDescent="0.45">
      <c r="A172" s="3" t="s">
        <v>479</v>
      </c>
      <c r="B172" s="47">
        <v>48</v>
      </c>
      <c r="C172" s="7" t="s">
        <v>447</v>
      </c>
      <c r="D172" s="8" t="s">
        <v>448</v>
      </c>
      <c r="E172" s="18">
        <f>17+10</f>
        <v>27</v>
      </c>
      <c r="F172" s="18">
        <f>0+2</f>
        <v>2</v>
      </c>
      <c r="G172" s="18">
        <f>2+4</f>
        <v>6</v>
      </c>
      <c r="H172" s="18">
        <f>2+4</f>
        <v>6</v>
      </c>
      <c r="I172" s="18">
        <v>0</v>
      </c>
      <c r="J172" s="18">
        <v>0</v>
      </c>
      <c r="K172" s="19">
        <f t="shared" si="19"/>
        <v>13</v>
      </c>
      <c r="L172" s="19">
        <v>7</v>
      </c>
      <c r="M172" s="19">
        <f t="shared" si="20"/>
        <v>6</v>
      </c>
      <c r="N172" s="23">
        <f t="shared" si="21"/>
        <v>0.53846153846153844</v>
      </c>
      <c r="O172" s="24" t="s">
        <v>498</v>
      </c>
    </row>
    <row r="173" spans="1:15" s="3" customFormat="1" ht="30.75" customHeight="1" x14ac:dyDescent="0.45">
      <c r="A173" s="3" t="s">
        <v>479</v>
      </c>
      <c r="B173" s="47">
        <v>49</v>
      </c>
      <c r="C173" s="7" t="s">
        <v>433</v>
      </c>
      <c r="D173" s="8" t="s">
        <v>434</v>
      </c>
      <c r="E173" s="18">
        <f>114+8</f>
        <v>122</v>
      </c>
      <c r="F173" s="18">
        <f>0+8+12+8</f>
        <v>28</v>
      </c>
      <c r="G173" s="18">
        <f>4+12</f>
        <v>16</v>
      </c>
      <c r="H173" s="18">
        <f>4+8+12+8+8+4</f>
        <v>44</v>
      </c>
      <c r="I173" s="18">
        <v>0</v>
      </c>
      <c r="J173" s="18">
        <v>0</v>
      </c>
      <c r="K173" s="19">
        <f t="shared" si="19"/>
        <v>34</v>
      </c>
      <c r="L173" s="19">
        <v>20</v>
      </c>
      <c r="M173" s="19">
        <f t="shared" si="20"/>
        <v>14</v>
      </c>
      <c r="N173" s="23">
        <f t="shared" si="21"/>
        <v>0.58823529411764708</v>
      </c>
      <c r="O173" s="24" t="s">
        <v>498</v>
      </c>
    </row>
    <row r="174" spans="1:15" s="3" customFormat="1" ht="30.75" customHeight="1" x14ac:dyDescent="0.45">
      <c r="A174" s="3" t="s">
        <v>479</v>
      </c>
      <c r="B174" s="47">
        <v>50</v>
      </c>
      <c r="C174" s="7" t="s">
        <v>421</v>
      </c>
      <c r="D174" s="8" t="s">
        <v>422</v>
      </c>
      <c r="E174" s="18">
        <v>68</v>
      </c>
      <c r="F174" s="18">
        <f>0+6</f>
        <v>6</v>
      </c>
      <c r="G174" s="18">
        <v>4</v>
      </c>
      <c r="H174" s="18">
        <f>4+8+4+12</f>
        <v>28</v>
      </c>
      <c r="I174" s="18">
        <v>0</v>
      </c>
      <c r="J174" s="18">
        <v>0</v>
      </c>
      <c r="K174" s="19">
        <f t="shared" si="19"/>
        <v>30</v>
      </c>
      <c r="L174" s="19">
        <v>18</v>
      </c>
      <c r="M174" s="19">
        <f t="shared" si="20"/>
        <v>12</v>
      </c>
      <c r="N174" s="23">
        <f t="shared" si="21"/>
        <v>0.6</v>
      </c>
      <c r="O174" s="24" t="s">
        <v>498</v>
      </c>
    </row>
    <row r="175" spans="1:15" s="3" customFormat="1" ht="30.75" customHeight="1" x14ac:dyDescent="0.45">
      <c r="A175" s="3" t="s">
        <v>479</v>
      </c>
      <c r="B175" s="47">
        <v>51</v>
      </c>
      <c r="C175" s="7" t="s">
        <v>128</v>
      </c>
      <c r="D175" s="8" t="s">
        <v>129</v>
      </c>
      <c r="E175" s="18">
        <f>124+28</f>
        <v>152</v>
      </c>
      <c r="F175" s="18">
        <f>0+12+8+16</f>
        <v>36</v>
      </c>
      <c r="G175" s="18">
        <f>4+4</f>
        <v>8</v>
      </c>
      <c r="H175" s="18">
        <v>72</v>
      </c>
      <c r="I175" s="18">
        <v>1</v>
      </c>
      <c r="J175" s="18">
        <v>0</v>
      </c>
      <c r="K175" s="19">
        <f t="shared" si="19"/>
        <v>35</v>
      </c>
      <c r="L175" s="19">
        <v>23</v>
      </c>
      <c r="M175" s="19">
        <f t="shared" si="20"/>
        <v>12</v>
      </c>
      <c r="N175" s="23">
        <f t="shared" si="21"/>
        <v>0.65714285714285714</v>
      </c>
      <c r="O175" s="24" t="s">
        <v>498</v>
      </c>
    </row>
    <row r="176" spans="1:15" s="3" customFormat="1" ht="30.75" customHeight="1" x14ac:dyDescent="0.45">
      <c r="A176" s="3" t="s">
        <v>479</v>
      </c>
      <c r="B176" s="47">
        <v>52</v>
      </c>
      <c r="C176" s="7" t="s">
        <v>439</v>
      </c>
      <c r="D176" s="8" t="s">
        <v>440</v>
      </c>
      <c r="E176" s="18">
        <v>144</v>
      </c>
      <c r="F176" s="18">
        <f>0+12</f>
        <v>12</v>
      </c>
      <c r="G176" s="18">
        <v>40</v>
      </c>
      <c r="H176" s="18">
        <f>4+8+12+20</f>
        <v>44</v>
      </c>
      <c r="I176" s="18">
        <v>0</v>
      </c>
      <c r="J176" s="18">
        <v>0</v>
      </c>
      <c r="K176" s="19">
        <f t="shared" si="19"/>
        <v>48</v>
      </c>
      <c r="L176" s="19">
        <v>33</v>
      </c>
      <c r="M176" s="19">
        <f t="shared" si="20"/>
        <v>15</v>
      </c>
      <c r="N176" s="23">
        <f t="shared" si="21"/>
        <v>0.6875</v>
      </c>
      <c r="O176" s="24" t="s">
        <v>498</v>
      </c>
    </row>
    <row r="177" spans="1:15" s="3" customFormat="1" ht="30.75" customHeight="1" x14ac:dyDescent="0.45">
      <c r="A177" s="3" t="s">
        <v>479</v>
      </c>
      <c r="B177" s="47">
        <v>53</v>
      </c>
      <c r="C177" s="7" t="s">
        <v>423</v>
      </c>
      <c r="D177" s="8" t="s">
        <v>424</v>
      </c>
      <c r="E177" s="18">
        <f>96+20</f>
        <v>116</v>
      </c>
      <c r="F177" s="18">
        <f>0+8</f>
        <v>8</v>
      </c>
      <c r="G177" s="18">
        <f>4+4</f>
        <v>8</v>
      </c>
      <c r="H177" s="18">
        <f>4+8+20+20</f>
        <v>52</v>
      </c>
      <c r="I177" s="18">
        <v>0</v>
      </c>
      <c r="J177" s="18">
        <v>0</v>
      </c>
      <c r="K177" s="19">
        <f t="shared" si="19"/>
        <v>48</v>
      </c>
      <c r="L177" s="19">
        <v>34</v>
      </c>
      <c r="M177" s="19">
        <f t="shared" si="20"/>
        <v>14</v>
      </c>
      <c r="N177" s="23">
        <f t="shared" si="21"/>
        <v>0.70833333333333337</v>
      </c>
      <c r="O177" s="24" t="s">
        <v>498</v>
      </c>
    </row>
    <row r="178" spans="1:15" s="3" customFormat="1" ht="30.75" customHeight="1" x14ac:dyDescent="0.45">
      <c r="A178" s="3" t="s">
        <v>479</v>
      </c>
      <c r="B178" s="47">
        <v>54</v>
      </c>
      <c r="C178" s="7" t="s">
        <v>405</v>
      </c>
      <c r="D178" s="8" t="s">
        <v>406</v>
      </c>
      <c r="E178" s="18">
        <f>58+30</f>
        <v>88</v>
      </c>
      <c r="F178" s="18">
        <f>0+4</f>
        <v>4</v>
      </c>
      <c r="G178" s="18">
        <f>4+4</f>
        <v>8</v>
      </c>
      <c r="H178" s="18">
        <v>40</v>
      </c>
      <c r="I178" s="18">
        <v>0</v>
      </c>
      <c r="J178" s="18">
        <v>0</v>
      </c>
      <c r="K178" s="19">
        <f t="shared" si="19"/>
        <v>36</v>
      </c>
      <c r="L178" s="19">
        <v>33</v>
      </c>
      <c r="M178" s="19">
        <f t="shared" si="20"/>
        <v>3</v>
      </c>
      <c r="N178" s="25">
        <f t="shared" si="21"/>
        <v>0.91666666666666663</v>
      </c>
      <c r="O178" s="26" t="s">
        <v>495</v>
      </c>
    </row>
    <row r="179" spans="1:15" s="3" customFormat="1" ht="30" customHeight="1" x14ac:dyDescent="0.45">
      <c r="A179" s="3" t="s">
        <v>401</v>
      </c>
      <c r="B179" s="47">
        <v>4</v>
      </c>
      <c r="C179" s="7" t="s">
        <v>9</v>
      </c>
      <c r="D179" s="8" t="s">
        <v>403</v>
      </c>
      <c r="E179" s="18">
        <v>110</v>
      </c>
      <c r="F179" s="18">
        <f>0+18</f>
        <v>18</v>
      </c>
      <c r="G179" s="18">
        <v>10</v>
      </c>
      <c r="H179" s="18">
        <v>16</v>
      </c>
      <c r="I179" s="18">
        <v>1</v>
      </c>
      <c r="J179" s="18"/>
      <c r="K179" s="19">
        <f t="shared" ref="K179:K184" si="22">E179-F179-G179-H179-I179-J179</f>
        <v>65</v>
      </c>
      <c r="L179" s="19">
        <v>4</v>
      </c>
      <c r="M179" s="19">
        <f t="shared" ref="M179:M184" si="23">K179-L179</f>
        <v>61</v>
      </c>
      <c r="N179" s="59">
        <f t="shared" ref="N179:N184" si="24">L179/K179</f>
        <v>6.1538461538461542E-2</v>
      </c>
      <c r="O179" s="60" t="s">
        <v>496</v>
      </c>
    </row>
    <row r="180" spans="1:15" s="3" customFormat="1" ht="30" customHeight="1" x14ac:dyDescent="0.45">
      <c r="A180" s="3" t="s">
        <v>401</v>
      </c>
      <c r="B180" s="47">
        <v>5</v>
      </c>
      <c r="C180" s="7" t="s">
        <v>10</v>
      </c>
      <c r="D180" s="8" t="s">
        <v>402</v>
      </c>
      <c r="E180" s="18">
        <v>138</v>
      </c>
      <c r="F180" s="18">
        <f>0+30</f>
        <v>30</v>
      </c>
      <c r="G180" s="18">
        <v>10</v>
      </c>
      <c r="H180" s="18">
        <v>21</v>
      </c>
      <c r="I180" s="18">
        <v>1</v>
      </c>
      <c r="J180" s="18"/>
      <c r="K180" s="19">
        <f t="shared" si="22"/>
        <v>76</v>
      </c>
      <c r="L180" s="19">
        <v>14</v>
      </c>
      <c r="M180" s="19">
        <f t="shared" si="23"/>
        <v>62</v>
      </c>
      <c r="N180" s="59">
        <f t="shared" si="24"/>
        <v>0.18421052631578946</v>
      </c>
      <c r="O180" s="60" t="s">
        <v>496</v>
      </c>
    </row>
    <row r="181" spans="1:15" s="3" customFormat="1" ht="30" customHeight="1" x14ac:dyDescent="0.45">
      <c r="A181" s="3" t="s">
        <v>401</v>
      </c>
      <c r="B181" s="47">
        <v>6</v>
      </c>
      <c r="C181" s="7" t="s">
        <v>14</v>
      </c>
      <c r="D181" s="8" t="s">
        <v>15</v>
      </c>
      <c r="E181" s="18">
        <v>60</v>
      </c>
      <c r="F181" s="18">
        <f>0+12</f>
        <v>12</v>
      </c>
      <c r="G181" s="18">
        <v>8</v>
      </c>
      <c r="H181" s="18">
        <f>8+10</f>
        <v>18</v>
      </c>
      <c r="I181" s="18">
        <v>1</v>
      </c>
      <c r="J181" s="18"/>
      <c r="K181" s="19">
        <f t="shared" si="22"/>
        <v>21</v>
      </c>
      <c r="L181" s="19">
        <v>10</v>
      </c>
      <c r="M181" s="19">
        <f t="shared" si="23"/>
        <v>11</v>
      </c>
      <c r="N181" s="20">
        <f t="shared" si="24"/>
        <v>0.47619047619047616</v>
      </c>
      <c r="O181" s="22" t="s">
        <v>497</v>
      </c>
    </row>
    <row r="182" spans="1:15" s="3" customFormat="1" ht="30" customHeight="1" x14ac:dyDescent="0.45">
      <c r="A182" s="3" t="s">
        <v>401</v>
      </c>
      <c r="B182" s="47">
        <v>7</v>
      </c>
      <c r="C182" s="7" t="s">
        <v>13</v>
      </c>
      <c r="D182" s="8" t="s">
        <v>404</v>
      </c>
      <c r="E182" s="18">
        <v>58</v>
      </c>
      <c r="F182" s="18">
        <f>0+6</f>
        <v>6</v>
      </c>
      <c r="G182" s="18">
        <f>8+5</f>
        <v>13</v>
      </c>
      <c r="H182" s="18">
        <v>23</v>
      </c>
      <c r="I182" s="18">
        <v>1</v>
      </c>
      <c r="J182" s="18"/>
      <c r="K182" s="19">
        <f t="shared" si="22"/>
        <v>15</v>
      </c>
      <c r="L182" s="19">
        <v>8</v>
      </c>
      <c r="M182" s="19">
        <f t="shared" si="23"/>
        <v>7</v>
      </c>
      <c r="N182" s="23">
        <f t="shared" si="24"/>
        <v>0.53333333333333333</v>
      </c>
      <c r="O182" s="24" t="s">
        <v>498</v>
      </c>
    </row>
    <row r="183" spans="1:15" s="3" customFormat="1" ht="30" customHeight="1" x14ac:dyDescent="0.45">
      <c r="A183" s="3" t="s">
        <v>401</v>
      </c>
      <c r="B183" s="47">
        <v>8</v>
      </c>
      <c r="C183" s="7" t="s">
        <v>7</v>
      </c>
      <c r="D183" s="8" t="s">
        <v>8</v>
      </c>
      <c r="E183" s="18">
        <v>38</v>
      </c>
      <c r="F183" s="18">
        <f>0+4</f>
        <v>4</v>
      </c>
      <c r="G183" s="18">
        <v>10</v>
      </c>
      <c r="H183" s="18">
        <v>9</v>
      </c>
      <c r="I183" s="18">
        <v>3</v>
      </c>
      <c r="J183" s="18"/>
      <c r="K183" s="19">
        <f t="shared" si="22"/>
        <v>12</v>
      </c>
      <c r="L183" s="19">
        <v>9</v>
      </c>
      <c r="M183" s="19">
        <f t="shared" si="23"/>
        <v>3</v>
      </c>
      <c r="N183" s="23">
        <f t="shared" si="24"/>
        <v>0.75</v>
      </c>
      <c r="O183" s="24" t="s">
        <v>498</v>
      </c>
    </row>
    <row r="184" spans="1:15" s="3" customFormat="1" ht="30" customHeight="1" x14ac:dyDescent="0.45">
      <c r="A184" s="3" t="s">
        <v>401</v>
      </c>
      <c r="B184" s="47">
        <v>9</v>
      </c>
      <c r="C184" s="7" t="s">
        <v>11</v>
      </c>
      <c r="D184" s="8" t="s">
        <v>12</v>
      </c>
      <c r="E184" s="18">
        <v>60</v>
      </c>
      <c r="F184" s="18">
        <v>0</v>
      </c>
      <c r="G184" s="18">
        <f>10+10</f>
        <v>20</v>
      </c>
      <c r="H184" s="18">
        <f>10+6+2</f>
        <v>18</v>
      </c>
      <c r="I184" s="18">
        <v>1</v>
      </c>
      <c r="J184" s="18">
        <v>12</v>
      </c>
      <c r="K184" s="19">
        <f t="shared" si="22"/>
        <v>9</v>
      </c>
      <c r="L184" s="19">
        <f>4+1+2+2</f>
        <v>9</v>
      </c>
      <c r="M184" s="19">
        <f t="shared" si="23"/>
        <v>0</v>
      </c>
      <c r="N184" s="27">
        <f t="shared" si="24"/>
        <v>1</v>
      </c>
      <c r="O184" s="28" t="s">
        <v>499</v>
      </c>
    </row>
    <row r="185" spans="1:15" s="3" customFormat="1" ht="30" customHeight="1" x14ac:dyDescent="0.5">
      <c r="A185" s="3" t="s">
        <v>535</v>
      </c>
      <c r="B185" s="49">
        <v>1</v>
      </c>
      <c r="C185" s="10" t="s">
        <v>519</v>
      </c>
      <c r="D185" s="7" t="s">
        <v>520</v>
      </c>
      <c r="E185" s="30">
        <v>170</v>
      </c>
      <c r="F185" s="30">
        <f>0+10</f>
        <v>10</v>
      </c>
      <c r="G185" s="30">
        <v>0</v>
      </c>
      <c r="H185" s="30">
        <v>70</v>
      </c>
      <c r="I185" s="30">
        <v>0</v>
      </c>
      <c r="J185" s="30">
        <v>0</v>
      </c>
      <c r="K185" s="31">
        <f t="shared" ref="K185:K202" si="25">E185-F185-G185-H185-I185-J185</f>
        <v>90</v>
      </c>
      <c r="L185" s="30">
        <v>19</v>
      </c>
      <c r="M185" s="31">
        <f t="shared" ref="M185:M202" si="26">K185-L185</f>
        <v>71</v>
      </c>
      <c r="N185" s="61">
        <f t="shared" ref="N185:N202" si="27">L185/K185</f>
        <v>0.21111111111111111</v>
      </c>
      <c r="O185" s="60" t="s">
        <v>496</v>
      </c>
    </row>
    <row r="186" spans="1:15" s="3" customFormat="1" ht="30" customHeight="1" x14ac:dyDescent="0.5">
      <c r="A186" s="3" t="s">
        <v>535</v>
      </c>
      <c r="B186" s="50">
        <v>2</v>
      </c>
      <c r="C186" s="10" t="s">
        <v>647</v>
      </c>
      <c r="D186" s="7" t="s">
        <v>648</v>
      </c>
      <c r="E186" s="30">
        <v>105</v>
      </c>
      <c r="F186" s="30">
        <f>0+10</f>
        <v>10</v>
      </c>
      <c r="G186" s="30">
        <v>10</v>
      </c>
      <c r="H186" s="30">
        <v>30</v>
      </c>
      <c r="I186" s="30">
        <v>0</v>
      </c>
      <c r="J186" s="30">
        <v>0</v>
      </c>
      <c r="K186" s="31">
        <f t="shared" si="25"/>
        <v>55</v>
      </c>
      <c r="L186" s="30">
        <v>14</v>
      </c>
      <c r="M186" s="31">
        <f t="shared" si="26"/>
        <v>41</v>
      </c>
      <c r="N186" s="61">
        <f t="shared" si="27"/>
        <v>0.25454545454545452</v>
      </c>
      <c r="O186" s="60" t="s">
        <v>496</v>
      </c>
    </row>
    <row r="187" spans="1:15" s="3" customFormat="1" ht="30" customHeight="1" x14ac:dyDescent="0.5">
      <c r="A187" s="3" t="s">
        <v>535</v>
      </c>
      <c r="B187" s="49">
        <v>3</v>
      </c>
      <c r="C187" s="10" t="s">
        <v>645</v>
      </c>
      <c r="D187" s="7" t="s">
        <v>646</v>
      </c>
      <c r="E187" s="30">
        <v>202</v>
      </c>
      <c r="F187" s="30">
        <f>0+5+10</f>
        <v>15</v>
      </c>
      <c r="G187" s="30">
        <v>10</v>
      </c>
      <c r="H187" s="30">
        <v>89</v>
      </c>
      <c r="I187" s="30">
        <v>0</v>
      </c>
      <c r="J187" s="30">
        <v>0</v>
      </c>
      <c r="K187" s="31">
        <f t="shared" si="25"/>
        <v>88</v>
      </c>
      <c r="L187" s="30">
        <v>23</v>
      </c>
      <c r="M187" s="31">
        <f t="shared" si="26"/>
        <v>65</v>
      </c>
      <c r="N187" s="66">
        <f t="shared" si="27"/>
        <v>0.26136363636363635</v>
      </c>
      <c r="O187" s="22" t="s">
        <v>497</v>
      </c>
    </row>
    <row r="188" spans="1:15" s="3" customFormat="1" ht="30" customHeight="1" x14ac:dyDescent="0.5">
      <c r="A188" s="3" t="s">
        <v>535</v>
      </c>
      <c r="B188" s="50">
        <v>4</v>
      </c>
      <c r="C188" s="10" t="s">
        <v>533</v>
      </c>
      <c r="D188" s="7" t="s">
        <v>534</v>
      </c>
      <c r="E188" s="30">
        <v>29</v>
      </c>
      <c r="F188" s="30">
        <f>0+6+6</f>
        <v>12</v>
      </c>
      <c r="G188" s="30">
        <v>8</v>
      </c>
      <c r="H188" s="30">
        <v>0</v>
      </c>
      <c r="I188" s="30">
        <v>0</v>
      </c>
      <c r="J188" s="30">
        <v>0</v>
      </c>
      <c r="K188" s="31">
        <f t="shared" si="25"/>
        <v>9</v>
      </c>
      <c r="L188" s="30">
        <f>2+1</f>
        <v>3</v>
      </c>
      <c r="M188" s="31">
        <f t="shared" si="26"/>
        <v>6</v>
      </c>
      <c r="N188" s="66">
        <f t="shared" si="27"/>
        <v>0.33333333333333331</v>
      </c>
      <c r="O188" s="22" t="s">
        <v>497</v>
      </c>
    </row>
    <row r="189" spans="1:15" s="3" customFormat="1" ht="30" customHeight="1" x14ac:dyDescent="0.5">
      <c r="A189" s="3" t="s">
        <v>535</v>
      </c>
      <c r="B189" s="49">
        <v>5</v>
      </c>
      <c r="C189" s="10" t="s">
        <v>531</v>
      </c>
      <c r="D189" s="7" t="s">
        <v>532</v>
      </c>
      <c r="E189" s="30">
        <v>29</v>
      </c>
      <c r="F189" s="30">
        <f>0+6+6</f>
        <v>12</v>
      </c>
      <c r="G189" s="30">
        <v>8</v>
      </c>
      <c r="H189" s="30">
        <v>0</v>
      </c>
      <c r="I189" s="30">
        <v>0</v>
      </c>
      <c r="J189" s="30">
        <v>0</v>
      </c>
      <c r="K189" s="31">
        <f t="shared" si="25"/>
        <v>9</v>
      </c>
      <c r="L189" s="30">
        <f>2+1</f>
        <v>3</v>
      </c>
      <c r="M189" s="31">
        <f t="shared" si="26"/>
        <v>6</v>
      </c>
      <c r="N189" s="66">
        <f t="shared" si="27"/>
        <v>0.33333333333333331</v>
      </c>
      <c r="O189" s="22" t="s">
        <v>497</v>
      </c>
    </row>
    <row r="190" spans="1:15" s="3" customFormat="1" ht="30" customHeight="1" x14ac:dyDescent="0.5">
      <c r="A190" s="3" t="s">
        <v>535</v>
      </c>
      <c r="B190" s="50">
        <v>6</v>
      </c>
      <c r="C190" s="10" t="s">
        <v>517</v>
      </c>
      <c r="D190" s="7" t="s">
        <v>518</v>
      </c>
      <c r="E190" s="30">
        <v>90</v>
      </c>
      <c r="F190" s="30">
        <f>0+8+20</f>
        <v>28</v>
      </c>
      <c r="G190" s="30">
        <v>0</v>
      </c>
      <c r="H190" s="30">
        <v>15</v>
      </c>
      <c r="I190" s="30">
        <v>0</v>
      </c>
      <c r="J190" s="30">
        <v>0</v>
      </c>
      <c r="K190" s="31">
        <f t="shared" si="25"/>
        <v>47</v>
      </c>
      <c r="L190" s="30">
        <v>17</v>
      </c>
      <c r="M190" s="31">
        <f t="shared" si="26"/>
        <v>30</v>
      </c>
      <c r="N190" s="66">
        <f t="shared" si="27"/>
        <v>0.36170212765957449</v>
      </c>
      <c r="O190" s="22" t="s">
        <v>497</v>
      </c>
    </row>
    <row r="191" spans="1:15" s="3" customFormat="1" ht="30" customHeight="1" x14ac:dyDescent="0.5">
      <c r="A191" s="3" t="s">
        <v>535</v>
      </c>
      <c r="B191" s="49">
        <v>7</v>
      </c>
      <c r="C191" s="10" t="s">
        <v>505</v>
      </c>
      <c r="D191" s="7" t="s">
        <v>506</v>
      </c>
      <c r="E191" s="30">
        <v>66</v>
      </c>
      <c r="F191" s="30">
        <v>31</v>
      </c>
      <c r="G191" s="30">
        <v>0</v>
      </c>
      <c r="H191" s="30">
        <v>16</v>
      </c>
      <c r="I191" s="30">
        <v>0</v>
      </c>
      <c r="J191" s="30">
        <v>0</v>
      </c>
      <c r="K191" s="31">
        <f t="shared" si="25"/>
        <v>19</v>
      </c>
      <c r="L191" s="30">
        <v>7</v>
      </c>
      <c r="M191" s="31">
        <f t="shared" si="26"/>
        <v>12</v>
      </c>
      <c r="N191" s="66">
        <f t="shared" si="27"/>
        <v>0.36842105263157893</v>
      </c>
      <c r="O191" s="22" t="s">
        <v>497</v>
      </c>
    </row>
    <row r="192" spans="1:15" s="3" customFormat="1" ht="30" customHeight="1" x14ac:dyDescent="0.5">
      <c r="A192" s="3" t="s">
        <v>535</v>
      </c>
      <c r="B192" s="50">
        <v>8</v>
      </c>
      <c r="C192" s="10" t="s">
        <v>511</v>
      </c>
      <c r="D192" s="7" t="s">
        <v>512</v>
      </c>
      <c r="E192" s="30">
        <v>185</v>
      </c>
      <c r="F192" s="30">
        <v>35</v>
      </c>
      <c r="G192" s="30">
        <v>10</v>
      </c>
      <c r="H192" s="30">
        <v>60</v>
      </c>
      <c r="I192" s="30">
        <f>0+5</f>
        <v>5</v>
      </c>
      <c r="J192" s="30">
        <v>0</v>
      </c>
      <c r="K192" s="31">
        <f t="shared" si="25"/>
        <v>75</v>
      </c>
      <c r="L192" s="30">
        <v>28</v>
      </c>
      <c r="M192" s="31">
        <f t="shared" si="26"/>
        <v>47</v>
      </c>
      <c r="N192" s="66">
        <f t="shared" si="27"/>
        <v>0.37333333333333335</v>
      </c>
      <c r="O192" s="22" t="s">
        <v>497</v>
      </c>
    </row>
    <row r="193" spans="1:15" s="3" customFormat="1" ht="28.5" customHeight="1" x14ac:dyDescent="0.5">
      <c r="A193" s="3" t="s">
        <v>535</v>
      </c>
      <c r="B193" s="49">
        <v>9</v>
      </c>
      <c r="C193" s="10" t="s">
        <v>515</v>
      </c>
      <c r="D193" s="7" t="s">
        <v>516</v>
      </c>
      <c r="E193" s="30">
        <v>153</v>
      </c>
      <c r="F193" s="30">
        <f>0+5+20</f>
        <v>25</v>
      </c>
      <c r="G193" s="30">
        <v>14</v>
      </c>
      <c r="H193" s="30">
        <v>35</v>
      </c>
      <c r="I193" s="30">
        <v>0</v>
      </c>
      <c r="J193" s="30">
        <v>0</v>
      </c>
      <c r="K193" s="31">
        <f t="shared" si="25"/>
        <v>79</v>
      </c>
      <c r="L193" s="30">
        <v>33</v>
      </c>
      <c r="M193" s="31">
        <f t="shared" si="26"/>
        <v>46</v>
      </c>
      <c r="N193" s="66">
        <f t="shared" si="27"/>
        <v>0.41772151898734178</v>
      </c>
      <c r="O193" s="22" t="s">
        <v>497</v>
      </c>
    </row>
    <row r="194" spans="1:15" s="3" customFormat="1" ht="30" customHeight="1" x14ac:dyDescent="0.5">
      <c r="A194" s="3" t="s">
        <v>535</v>
      </c>
      <c r="B194" s="50">
        <v>10</v>
      </c>
      <c r="C194" s="10" t="s">
        <v>513</v>
      </c>
      <c r="D194" s="7" t="s">
        <v>514</v>
      </c>
      <c r="E194" s="30">
        <v>80</v>
      </c>
      <c r="F194" s="30">
        <f>0+5</f>
        <v>5</v>
      </c>
      <c r="G194" s="30">
        <v>5</v>
      </c>
      <c r="H194" s="30">
        <v>35</v>
      </c>
      <c r="I194" s="30">
        <v>0</v>
      </c>
      <c r="J194" s="30">
        <v>0</v>
      </c>
      <c r="K194" s="31">
        <f t="shared" si="25"/>
        <v>35</v>
      </c>
      <c r="L194" s="30">
        <v>16</v>
      </c>
      <c r="M194" s="31">
        <f t="shared" si="26"/>
        <v>19</v>
      </c>
      <c r="N194" s="66">
        <f t="shared" si="27"/>
        <v>0.45714285714285713</v>
      </c>
      <c r="O194" s="22" t="s">
        <v>497</v>
      </c>
    </row>
    <row r="195" spans="1:15" s="3" customFormat="1" ht="30" customHeight="1" x14ac:dyDescent="0.5">
      <c r="A195" s="3" t="s">
        <v>535</v>
      </c>
      <c r="B195" s="49">
        <v>11</v>
      </c>
      <c r="C195" s="10" t="s">
        <v>649</v>
      </c>
      <c r="D195" s="7" t="s">
        <v>650</v>
      </c>
      <c r="E195" s="30">
        <v>80</v>
      </c>
      <c r="F195" s="30">
        <f>0+20</f>
        <v>20</v>
      </c>
      <c r="G195" s="30">
        <v>5</v>
      </c>
      <c r="H195" s="30">
        <v>25</v>
      </c>
      <c r="I195" s="30">
        <v>0</v>
      </c>
      <c r="J195" s="30">
        <v>0</v>
      </c>
      <c r="K195" s="31">
        <f t="shared" si="25"/>
        <v>30</v>
      </c>
      <c r="L195" s="30">
        <v>15</v>
      </c>
      <c r="M195" s="31">
        <f t="shared" si="26"/>
        <v>15</v>
      </c>
      <c r="N195" s="66">
        <f t="shared" si="27"/>
        <v>0.5</v>
      </c>
      <c r="O195" s="22" t="s">
        <v>497</v>
      </c>
    </row>
    <row r="196" spans="1:15" s="3" customFormat="1" ht="30" customHeight="1" x14ac:dyDescent="0.5">
      <c r="A196" s="3" t="s">
        <v>535</v>
      </c>
      <c r="B196" s="50">
        <v>12</v>
      </c>
      <c r="C196" s="10" t="s">
        <v>507</v>
      </c>
      <c r="D196" s="7" t="s">
        <v>508</v>
      </c>
      <c r="E196" s="30">
        <v>30</v>
      </c>
      <c r="F196" s="30">
        <f>0+5+5</f>
        <v>10</v>
      </c>
      <c r="G196" s="30">
        <v>0</v>
      </c>
      <c r="H196" s="30">
        <f>0+5</f>
        <v>5</v>
      </c>
      <c r="I196" s="30">
        <v>0</v>
      </c>
      <c r="J196" s="30">
        <v>0</v>
      </c>
      <c r="K196" s="31">
        <f t="shared" si="25"/>
        <v>15</v>
      </c>
      <c r="L196" s="30">
        <f>1+1+5+1</f>
        <v>8</v>
      </c>
      <c r="M196" s="31">
        <f t="shared" si="26"/>
        <v>7</v>
      </c>
      <c r="N196" s="76">
        <f t="shared" si="27"/>
        <v>0.53333333333333333</v>
      </c>
      <c r="O196" s="24" t="s">
        <v>498</v>
      </c>
    </row>
    <row r="197" spans="1:15" s="3" customFormat="1" ht="30" customHeight="1" x14ac:dyDescent="0.5">
      <c r="A197" s="3" t="s">
        <v>535</v>
      </c>
      <c r="B197" s="49">
        <v>13</v>
      </c>
      <c r="C197" s="10" t="s">
        <v>525</v>
      </c>
      <c r="D197" s="7" t="s">
        <v>526</v>
      </c>
      <c r="E197" s="30">
        <v>107</v>
      </c>
      <c r="F197" s="30">
        <f>0+10+20</f>
        <v>30</v>
      </c>
      <c r="G197" s="30">
        <v>10</v>
      </c>
      <c r="H197" s="30">
        <v>23</v>
      </c>
      <c r="I197" s="30">
        <v>0</v>
      </c>
      <c r="J197" s="30">
        <v>0</v>
      </c>
      <c r="K197" s="31">
        <f t="shared" si="25"/>
        <v>44</v>
      </c>
      <c r="L197" s="30">
        <v>28</v>
      </c>
      <c r="M197" s="31">
        <f t="shared" si="26"/>
        <v>16</v>
      </c>
      <c r="N197" s="76">
        <f t="shared" si="27"/>
        <v>0.63636363636363635</v>
      </c>
      <c r="O197" s="24" t="s">
        <v>498</v>
      </c>
    </row>
    <row r="198" spans="1:15" s="3" customFormat="1" ht="30" customHeight="1" x14ac:dyDescent="0.5">
      <c r="A198" s="3" t="s">
        <v>535</v>
      </c>
      <c r="B198" s="50">
        <v>14</v>
      </c>
      <c r="C198" s="10" t="s">
        <v>509</v>
      </c>
      <c r="D198" s="7" t="s">
        <v>510</v>
      </c>
      <c r="E198" s="31">
        <v>25</v>
      </c>
      <c r="F198" s="31">
        <f>0+5</f>
        <v>5</v>
      </c>
      <c r="G198" s="31">
        <f>0+5</f>
        <v>5</v>
      </c>
      <c r="H198" s="31">
        <f>0+5</f>
        <v>5</v>
      </c>
      <c r="I198" s="31">
        <v>0</v>
      </c>
      <c r="J198" s="31">
        <v>0</v>
      </c>
      <c r="K198" s="31">
        <f t="shared" si="25"/>
        <v>10</v>
      </c>
      <c r="L198" s="31">
        <f>1+1+5</f>
        <v>7</v>
      </c>
      <c r="M198" s="31">
        <f t="shared" si="26"/>
        <v>3</v>
      </c>
      <c r="N198" s="76">
        <f t="shared" si="27"/>
        <v>0.7</v>
      </c>
      <c r="O198" s="24" t="s">
        <v>498</v>
      </c>
    </row>
    <row r="199" spans="1:15" s="3" customFormat="1" ht="30" customHeight="1" x14ac:dyDescent="0.5">
      <c r="A199" s="3" t="s">
        <v>535</v>
      </c>
      <c r="B199" s="49">
        <v>15</v>
      </c>
      <c r="C199" s="10" t="s">
        <v>529</v>
      </c>
      <c r="D199" s="7" t="s">
        <v>530</v>
      </c>
      <c r="E199" s="30">
        <v>90</v>
      </c>
      <c r="F199" s="30">
        <f>0+5</f>
        <v>5</v>
      </c>
      <c r="G199" s="30">
        <v>15</v>
      </c>
      <c r="H199" s="30">
        <v>22</v>
      </c>
      <c r="I199" s="30">
        <v>0</v>
      </c>
      <c r="J199" s="30">
        <v>0</v>
      </c>
      <c r="K199" s="31">
        <f t="shared" si="25"/>
        <v>48</v>
      </c>
      <c r="L199" s="30">
        <v>38</v>
      </c>
      <c r="M199" s="31">
        <f t="shared" si="26"/>
        <v>10</v>
      </c>
      <c r="N199" s="94">
        <f t="shared" si="27"/>
        <v>0.79166666666666663</v>
      </c>
      <c r="O199" s="26" t="s">
        <v>495</v>
      </c>
    </row>
    <row r="200" spans="1:15" s="3" customFormat="1" ht="30" customHeight="1" x14ac:dyDescent="0.5">
      <c r="A200" s="3" t="s">
        <v>535</v>
      </c>
      <c r="B200" s="50">
        <v>16</v>
      </c>
      <c r="C200" s="10" t="s">
        <v>527</v>
      </c>
      <c r="D200" s="7" t="s">
        <v>528</v>
      </c>
      <c r="E200" s="30">
        <v>90</v>
      </c>
      <c r="F200" s="30">
        <f>0+5+20</f>
        <v>25</v>
      </c>
      <c r="G200" s="30">
        <v>5</v>
      </c>
      <c r="H200" s="30">
        <v>25</v>
      </c>
      <c r="I200" s="30">
        <v>0</v>
      </c>
      <c r="J200" s="30">
        <v>0</v>
      </c>
      <c r="K200" s="31">
        <f t="shared" si="25"/>
        <v>35</v>
      </c>
      <c r="L200" s="30">
        <v>28</v>
      </c>
      <c r="M200" s="31">
        <f t="shared" si="26"/>
        <v>7</v>
      </c>
      <c r="N200" s="87">
        <f t="shared" si="27"/>
        <v>0.8</v>
      </c>
      <c r="O200" s="26" t="s">
        <v>495</v>
      </c>
    </row>
    <row r="201" spans="1:15" s="3" customFormat="1" ht="30" customHeight="1" x14ac:dyDescent="0.5">
      <c r="A201" s="3" t="s">
        <v>535</v>
      </c>
      <c r="B201" s="49">
        <v>17</v>
      </c>
      <c r="C201" s="10" t="s">
        <v>521</v>
      </c>
      <c r="D201" s="7" t="s">
        <v>522</v>
      </c>
      <c r="E201" s="30">
        <v>89</v>
      </c>
      <c r="F201" s="30">
        <f>0+5</f>
        <v>5</v>
      </c>
      <c r="G201" s="30">
        <v>5</v>
      </c>
      <c r="H201" s="30">
        <v>40</v>
      </c>
      <c r="I201" s="30">
        <v>0</v>
      </c>
      <c r="J201" s="30">
        <v>0</v>
      </c>
      <c r="K201" s="31">
        <f t="shared" si="25"/>
        <v>39</v>
      </c>
      <c r="L201" s="30">
        <v>32</v>
      </c>
      <c r="M201" s="31">
        <f t="shared" si="26"/>
        <v>7</v>
      </c>
      <c r="N201" s="87">
        <f t="shared" si="27"/>
        <v>0.82051282051282048</v>
      </c>
      <c r="O201" s="26" t="s">
        <v>495</v>
      </c>
    </row>
    <row r="202" spans="1:15" s="3" customFormat="1" ht="30" customHeight="1" x14ac:dyDescent="0.5">
      <c r="A202" s="3" t="s">
        <v>535</v>
      </c>
      <c r="B202" s="50">
        <v>18</v>
      </c>
      <c r="C202" s="10" t="s">
        <v>523</v>
      </c>
      <c r="D202" s="7" t="s">
        <v>524</v>
      </c>
      <c r="E202" s="30">
        <f>84+5</f>
        <v>89</v>
      </c>
      <c r="F202" s="30">
        <v>0</v>
      </c>
      <c r="G202" s="30">
        <v>5</v>
      </c>
      <c r="H202" s="30">
        <v>38</v>
      </c>
      <c r="I202" s="30">
        <v>0</v>
      </c>
      <c r="J202" s="30">
        <v>0</v>
      </c>
      <c r="K202" s="31">
        <f t="shared" si="25"/>
        <v>46</v>
      </c>
      <c r="L202" s="30">
        <v>44</v>
      </c>
      <c r="M202" s="31">
        <f t="shared" si="26"/>
        <v>2</v>
      </c>
      <c r="N202" s="87">
        <f t="shared" si="27"/>
        <v>0.95652173913043481</v>
      </c>
      <c r="O202" s="26" t="s">
        <v>495</v>
      </c>
    </row>
    <row r="203" spans="1:15" s="3" customFormat="1" ht="30.75" customHeight="1" x14ac:dyDescent="0.5">
      <c r="A203" s="3" t="s">
        <v>629</v>
      </c>
      <c r="B203" s="49">
        <v>1</v>
      </c>
      <c r="C203" s="10" t="s">
        <v>567</v>
      </c>
      <c r="D203" s="7" t="s">
        <v>568</v>
      </c>
      <c r="E203" s="30">
        <f>10+5+39+2</f>
        <v>56</v>
      </c>
      <c r="F203" s="30">
        <f>0+10</f>
        <v>10</v>
      </c>
      <c r="G203" s="30">
        <v>0</v>
      </c>
      <c r="H203" s="30">
        <f>0+20+10</f>
        <v>30</v>
      </c>
      <c r="I203" s="30">
        <v>0</v>
      </c>
      <c r="J203" s="30">
        <v>0</v>
      </c>
      <c r="K203" s="30">
        <f t="shared" ref="K203:K215" si="28">E203-F203-G203-H203-I203-J203</f>
        <v>16</v>
      </c>
      <c r="L203" s="30">
        <v>15</v>
      </c>
      <c r="M203" s="30">
        <f t="shared" ref="M203:M215" si="29">K203-L203</f>
        <v>1</v>
      </c>
      <c r="N203" s="35">
        <f t="shared" ref="N203:N215" si="30">L203/K203</f>
        <v>0.9375</v>
      </c>
      <c r="O203" s="36" t="s">
        <v>495</v>
      </c>
    </row>
    <row r="204" spans="1:15" s="3" customFormat="1" ht="30.75" customHeight="1" x14ac:dyDescent="0.5">
      <c r="A204" s="3" t="s">
        <v>629</v>
      </c>
      <c r="B204" s="49">
        <v>2</v>
      </c>
      <c r="C204" s="10" t="s">
        <v>565</v>
      </c>
      <c r="D204" s="7" t="s">
        <v>566</v>
      </c>
      <c r="E204" s="30">
        <f>20+11+70</f>
        <v>101</v>
      </c>
      <c r="F204" s="30">
        <f>0+10+15</f>
        <v>25</v>
      </c>
      <c r="G204" s="30">
        <v>0</v>
      </c>
      <c r="H204" s="30">
        <f>0+15+20</f>
        <v>35</v>
      </c>
      <c r="I204" s="30">
        <v>0</v>
      </c>
      <c r="J204" s="30">
        <v>0</v>
      </c>
      <c r="K204" s="30">
        <f t="shared" si="28"/>
        <v>41</v>
      </c>
      <c r="L204" s="30">
        <v>39</v>
      </c>
      <c r="M204" s="30">
        <f t="shared" si="29"/>
        <v>2</v>
      </c>
      <c r="N204" s="35">
        <f t="shared" si="30"/>
        <v>0.95121951219512191</v>
      </c>
      <c r="O204" s="36" t="s">
        <v>495</v>
      </c>
    </row>
    <row r="205" spans="1:15" s="3" customFormat="1" ht="30.75" customHeight="1" x14ac:dyDescent="0.5">
      <c r="A205" s="3" t="s">
        <v>629</v>
      </c>
      <c r="B205" s="49">
        <v>3</v>
      </c>
      <c r="C205" s="10" t="s">
        <v>573</v>
      </c>
      <c r="D205" s="7" t="s">
        <v>556</v>
      </c>
      <c r="E205" s="30">
        <f>10+5+7+25</f>
        <v>47</v>
      </c>
      <c r="F205" s="30">
        <f>0+8</f>
        <v>8</v>
      </c>
      <c r="G205" s="30">
        <v>0</v>
      </c>
      <c r="H205" s="30">
        <f>0+10</f>
        <v>10</v>
      </c>
      <c r="I205" s="30">
        <v>0</v>
      </c>
      <c r="J205" s="30">
        <v>0</v>
      </c>
      <c r="K205" s="30">
        <f t="shared" si="28"/>
        <v>29</v>
      </c>
      <c r="L205" s="30">
        <v>28</v>
      </c>
      <c r="M205" s="30">
        <f t="shared" si="29"/>
        <v>1</v>
      </c>
      <c r="N205" s="35">
        <f t="shared" si="30"/>
        <v>0.96551724137931039</v>
      </c>
      <c r="O205" s="36" t="s">
        <v>495</v>
      </c>
    </row>
    <row r="206" spans="1:15" s="3" customFormat="1" ht="30.75" customHeight="1" x14ac:dyDescent="0.5">
      <c r="A206" s="3" t="s">
        <v>629</v>
      </c>
      <c r="B206" s="49">
        <v>4</v>
      </c>
      <c r="C206" s="10" t="s">
        <v>563</v>
      </c>
      <c r="D206" s="7" t="s">
        <v>564</v>
      </c>
      <c r="E206" s="30">
        <f>20+5+80</f>
        <v>105</v>
      </c>
      <c r="F206" s="30">
        <f>8+10+15</f>
        <v>33</v>
      </c>
      <c r="G206" s="30">
        <v>0</v>
      </c>
      <c r="H206" s="30">
        <f>0+35</f>
        <v>35</v>
      </c>
      <c r="I206" s="30">
        <v>0</v>
      </c>
      <c r="J206" s="30">
        <v>0</v>
      </c>
      <c r="K206" s="30">
        <f t="shared" si="28"/>
        <v>37</v>
      </c>
      <c r="L206" s="30">
        <v>36</v>
      </c>
      <c r="M206" s="30">
        <f t="shared" si="29"/>
        <v>1</v>
      </c>
      <c r="N206" s="35">
        <f t="shared" si="30"/>
        <v>0.97297297297297303</v>
      </c>
      <c r="O206" s="36" t="s">
        <v>495</v>
      </c>
    </row>
    <row r="207" spans="1:15" s="3" customFormat="1" ht="30.75" customHeight="1" x14ac:dyDescent="0.5">
      <c r="A207" s="3" t="s">
        <v>629</v>
      </c>
      <c r="B207" s="49">
        <v>5</v>
      </c>
      <c r="C207" s="10" t="s">
        <v>553</v>
      </c>
      <c r="D207" s="7" t="s">
        <v>554</v>
      </c>
      <c r="E207" s="30">
        <f>10+5+25</f>
        <v>40</v>
      </c>
      <c r="F207" s="30">
        <f>0+10</f>
        <v>10</v>
      </c>
      <c r="G207" s="30">
        <v>0</v>
      </c>
      <c r="H207" s="30">
        <f>0+10+3</f>
        <v>13</v>
      </c>
      <c r="I207" s="30">
        <v>0</v>
      </c>
      <c r="J207" s="30">
        <v>0</v>
      </c>
      <c r="K207" s="30">
        <f t="shared" si="28"/>
        <v>17</v>
      </c>
      <c r="L207" s="30">
        <v>17</v>
      </c>
      <c r="M207" s="30">
        <f t="shared" si="29"/>
        <v>0</v>
      </c>
      <c r="N207" s="56">
        <f t="shared" si="30"/>
        <v>1</v>
      </c>
      <c r="O207" s="57" t="s">
        <v>499</v>
      </c>
    </row>
    <row r="208" spans="1:15" s="3" customFormat="1" ht="30.75" customHeight="1" x14ac:dyDescent="0.5">
      <c r="A208" s="3" t="s">
        <v>629</v>
      </c>
      <c r="B208" s="49">
        <v>6</v>
      </c>
      <c r="C208" s="10" t="s">
        <v>555</v>
      </c>
      <c r="D208" s="7" t="s">
        <v>556</v>
      </c>
      <c r="E208" s="30">
        <f>25+85</f>
        <v>110</v>
      </c>
      <c r="F208" s="30">
        <f>0+10+10</f>
        <v>20</v>
      </c>
      <c r="G208" s="30">
        <v>0</v>
      </c>
      <c r="H208" s="30">
        <f>0+30+20</f>
        <v>50</v>
      </c>
      <c r="I208" s="30">
        <v>0</v>
      </c>
      <c r="J208" s="30">
        <v>0</v>
      </c>
      <c r="K208" s="30">
        <f t="shared" si="28"/>
        <v>40</v>
      </c>
      <c r="L208" s="30">
        <v>40</v>
      </c>
      <c r="M208" s="30">
        <f t="shared" si="29"/>
        <v>0</v>
      </c>
      <c r="N208" s="56">
        <f t="shared" si="30"/>
        <v>1</v>
      </c>
      <c r="O208" s="57" t="s">
        <v>499</v>
      </c>
    </row>
    <row r="209" spans="1:15" s="3" customFormat="1" ht="30.75" customHeight="1" x14ac:dyDescent="0.5">
      <c r="A209" s="3" t="s">
        <v>629</v>
      </c>
      <c r="B209" s="49">
        <v>7</v>
      </c>
      <c r="C209" s="10" t="s">
        <v>574</v>
      </c>
      <c r="D209" s="7" t="s">
        <v>575</v>
      </c>
      <c r="E209" s="30">
        <f>30+80</f>
        <v>110</v>
      </c>
      <c r="F209" s="30">
        <v>24</v>
      </c>
      <c r="G209" s="30">
        <v>0</v>
      </c>
      <c r="H209" s="30">
        <f>0+20</f>
        <v>20</v>
      </c>
      <c r="I209" s="30">
        <v>0</v>
      </c>
      <c r="J209" s="30">
        <v>0</v>
      </c>
      <c r="K209" s="30">
        <f t="shared" si="28"/>
        <v>66</v>
      </c>
      <c r="L209" s="30">
        <v>66</v>
      </c>
      <c r="M209" s="30">
        <f t="shared" si="29"/>
        <v>0</v>
      </c>
      <c r="N209" s="56">
        <f t="shared" si="30"/>
        <v>1</v>
      </c>
      <c r="O209" s="57" t="s">
        <v>499</v>
      </c>
    </row>
    <row r="210" spans="1:15" s="3" customFormat="1" ht="30.75" customHeight="1" x14ac:dyDescent="0.5">
      <c r="A210" s="3" t="s">
        <v>629</v>
      </c>
      <c r="B210" s="49">
        <v>8</v>
      </c>
      <c r="C210" s="10" t="s">
        <v>571</v>
      </c>
      <c r="D210" s="7" t="s">
        <v>572</v>
      </c>
      <c r="E210" s="30">
        <f>10+5+2+25</f>
        <v>42</v>
      </c>
      <c r="F210" s="30">
        <f>0+8</f>
        <v>8</v>
      </c>
      <c r="G210" s="30">
        <v>0</v>
      </c>
      <c r="H210" s="30">
        <f>0+15</f>
        <v>15</v>
      </c>
      <c r="I210" s="30">
        <v>0</v>
      </c>
      <c r="J210" s="30">
        <v>0</v>
      </c>
      <c r="K210" s="30">
        <f t="shared" si="28"/>
        <v>19</v>
      </c>
      <c r="L210" s="30">
        <v>19</v>
      </c>
      <c r="M210" s="30">
        <f t="shared" si="29"/>
        <v>0</v>
      </c>
      <c r="N210" s="56">
        <f t="shared" si="30"/>
        <v>1</v>
      </c>
      <c r="O210" s="57" t="s">
        <v>499</v>
      </c>
    </row>
    <row r="211" spans="1:15" s="3" customFormat="1" ht="30.75" customHeight="1" x14ac:dyDescent="0.5">
      <c r="A211" s="3" t="s">
        <v>629</v>
      </c>
      <c r="B211" s="49">
        <v>9</v>
      </c>
      <c r="C211" s="10" t="s">
        <v>561</v>
      </c>
      <c r="D211" s="7" t="s">
        <v>562</v>
      </c>
      <c r="E211" s="30">
        <f>20+79+2</f>
        <v>101</v>
      </c>
      <c r="F211" s="30">
        <f>0+10+10</f>
        <v>20</v>
      </c>
      <c r="G211" s="30">
        <v>0</v>
      </c>
      <c r="H211" s="30">
        <f>0+20</f>
        <v>20</v>
      </c>
      <c r="I211" s="30">
        <v>0</v>
      </c>
      <c r="J211" s="30">
        <v>0</v>
      </c>
      <c r="K211" s="30">
        <f t="shared" si="28"/>
        <v>61</v>
      </c>
      <c r="L211" s="30">
        <v>61</v>
      </c>
      <c r="M211" s="30">
        <f t="shared" si="29"/>
        <v>0</v>
      </c>
      <c r="N211" s="56">
        <f t="shared" si="30"/>
        <v>1</v>
      </c>
      <c r="O211" s="57" t="s">
        <v>499</v>
      </c>
    </row>
    <row r="212" spans="1:15" s="3" customFormat="1" ht="30.75" customHeight="1" x14ac:dyDescent="0.5">
      <c r="A212" s="3" t="s">
        <v>629</v>
      </c>
      <c r="B212" s="49">
        <v>10</v>
      </c>
      <c r="C212" s="10" t="s">
        <v>559</v>
      </c>
      <c r="D212" s="7" t="s">
        <v>560</v>
      </c>
      <c r="E212" s="30">
        <f>10+5+25</f>
        <v>40</v>
      </c>
      <c r="F212" s="30">
        <f>0+10</f>
        <v>10</v>
      </c>
      <c r="G212" s="30">
        <v>0</v>
      </c>
      <c r="H212" s="30">
        <f>0+10</f>
        <v>10</v>
      </c>
      <c r="I212" s="30">
        <v>0</v>
      </c>
      <c r="J212" s="30">
        <v>0</v>
      </c>
      <c r="K212" s="30">
        <f t="shared" si="28"/>
        <v>20</v>
      </c>
      <c r="L212" s="30">
        <v>20</v>
      </c>
      <c r="M212" s="30">
        <f t="shared" si="29"/>
        <v>0</v>
      </c>
      <c r="N212" s="56">
        <f t="shared" si="30"/>
        <v>1</v>
      </c>
      <c r="O212" s="57" t="s">
        <v>499</v>
      </c>
    </row>
    <row r="213" spans="1:15" s="3" customFormat="1" ht="30.75" customHeight="1" x14ac:dyDescent="0.5">
      <c r="A213" s="3" t="s">
        <v>629</v>
      </c>
      <c r="B213" s="49">
        <v>11</v>
      </c>
      <c r="C213" s="10" t="s">
        <v>569</v>
      </c>
      <c r="D213" s="7" t="s">
        <v>570</v>
      </c>
      <c r="E213" s="30">
        <f>25+2</f>
        <v>27</v>
      </c>
      <c r="F213" s="30">
        <f>0+5</f>
        <v>5</v>
      </c>
      <c r="G213" s="30">
        <v>0</v>
      </c>
      <c r="H213" s="30">
        <f>0+10</f>
        <v>10</v>
      </c>
      <c r="I213" s="30">
        <v>0</v>
      </c>
      <c r="J213" s="30">
        <v>0</v>
      </c>
      <c r="K213" s="30">
        <f t="shared" si="28"/>
        <v>12</v>
      </c>
      <c r="L213" s="30">
        <f>1+2+4+2+2+1</f>
        <v>12</v>
      </c>
      <c r="M213" s="30">
        <f t="shared" si="29"/>
        <v>0</v>
      </c>
      <c r="N213" s="56">
        <f t="shared" si="30"/>
        <v>1</v>
      </c>
      <c r="O213" s="57" t="s">
        <v>499</v>
      </c>
    </row>
    <row r="214" spans="1:15" s="3" customFormat="1" ht="30.75" customHeight="1" x14ac:dyDescent="0.5">
      <c r="A214" s="3" t="s">
        <v>629</v>
      </c>
      <c r="B214" s="49">
        <v>12</v>
      </c>
      <c r="C214" s="10" t="s">
        <v>551</v>
      </c>
      <c r="D214" s="7" t="s">
        <v>552</v>
      </c>
      <c r="E214" s="30">
        <f>50+40+76</f>
        <v>166</v>
      </c>
      <c r="F214" s="30">
        <f>0+40+50</f>
        <v>90</v>
      </c>
      <c r="G214" s="30">
        <v>0</v>
      </c>
      <c r="H214" s="30">
        <f>0+15+15+10+10</f>
        <v>50</v>
      </c>
      <c r="I214" s="30">
        <v>0</v>
      </c>
      <c r="J214" s="30">
        <v>0</v>
      </c>
      <c r="K214" s="30">
        <f t="shared" si="28"/>
        <v>26</v>
      </c>
      <c r="L214" s="30">
        <f>1+2+2+2+4+4+10+1</f>
        <v>26</v>
      </c>
      <c r="M214" s="30">
        <f t="shared" si="29"/>
        <v>0</v>
      </c>
      <c r="N214" s="56">
        <f t="shared" si="30"/>
        <v>1</v>
      </c>
      <c r="O214" s="57" t="s">
        <v>499</v>
      </c>
    </row>
    <row r="215" spans="1:15" s="3" customFormat="1" ht="30.75" customHeight="1" x14ac:dyDescent="0.5">
      <c r="A215" s="3" t="s">
        <v>629</v>
      </c>
      <c r="B215" s="49">
        <v>13</v>
      </c>
      <c r="C215" s="10" t="s">
        <v>557</v>
      </c>
      <c r="D215" s="7" t="s">
        <v>558</v>
      </c>
      <c r="E215" s="30">
        <f>10+5+1+5</f>
        <v>21</v>
      </c>
      <c r="F215" s="30">
        <f>0+10</f>
        <v>10</v>
      </c>
      <c r="G215" s="30">
        <v>0</v>
      </c>
      <c r="H215" s="30">
        <v>0</v>
      </c>
      <c r="I215" s="30">
        <v>0</v>
      </c>
      <c r="J215" s="30">
        <v>0</v>
      </c>
      <c r="K215" s="30">
        <f t="shared" si="28"/>
        <v>11</v>
      </c>
      <c r="L215" s="30">
        <f>1+2+2+4+2</f>
        <v>11</v>
      </c>
      <c r="M215" s="30">
        <f t="shared" si="29"/>
        <v>0</v>
      </c>
      <c r="N215" s="56">
        <f t="shared" si="30"/>
        <v>1</v>
      </c>
      <c r="O215" s="57" t="s">
        <v>499</v>
      </c>
    </row>
    <row r="216" spans="1:15" s="3" customFormat="1" ht="30.6" customHeight="1" x14ac:dyDescent="0.5">
      <c r="A216" s="3" t="s">
        <v>576</v>
      </c>
      <c r="B216" s="49">
        <v>1</v>
      </c>
      <c r="C216" s="10" t="s">
        <v>577</v>
      </c>
      <c r="D216" s="11" t="s">
        <v>578</v>
      </c>
      <c r="E216" s="18">
        <f>10+5+85</f>
        <v>100</v>
      </c>
      <c r="F216" s="18">
        <f>0+6+10+15</f>
        <v>31</v>
      </c>
      <c r="G216" s="18">
        <v>0</v>
      </c>
      <c r="H216" s="18">
        <v>35</v>
      </c>
      <c r="I216" s="18">
        <v>0</v>
      </c>
      <c r="J216" s="18">
        <v>0</v>
      </c>
      <c r="K216" s="18">
        <f>E216-F216-G216-H216-I216-J216</f>
        <v>34</v>
      </c>
      <c r="L216" s="18">
        <v>6</v>
      </c>
      <c r="M216" s="18">
        <f>K216-L216</f>
        <v>28</v>
      </c>
      <c r="N216" s="53">
        <f>L216/K216</f>
        <v>0.17647058823529413</v>
      </c>
      <c r="O216" s="54" t="s">
        <v>496</v>
      </c>
    </row>
    <row r="217" spans="1:15" s="3" customFormat="1" ht="30.6" customHeight="1" x14ac:dyDescent="0.5">
      <c r="A217" s="3" t="s">
        <v>576</v>
      </c>
      <c r="B217" s="49">
        <v>2</v>
      </c>
      <c r="C217" s="10" t="s">
        <v>583</v>
      </c>
      <c r="D217" s="11" t="s">
        <v>584</v>
      </c>
      <c r="E217" s="18">
        <f>20+110</f>
        <v>130</v>
      </c>
      <c r="F217" s="18">
        <f>0+10+15</f>
        <v>25</v>
      </c>
      <c r="G217" s="18">
        <v>10</v>
      </c>
      <c r="H217" s="18">
        <v>45</v>
      </c>
      <c r="I217" s="18">
        <v>0</v>
      </c>
      <c r="J217" s="18">
        <v>0</v>
      </c>
      <c r="K217" s="18">
        <f>E217-F217-G217-H217-I217-J217</f>
        <v>50</v>
      </c>
      <c r="L217" s="18">
        <v>12</v>
      </c>
      <c r="M217" s="18">
        <f>K217-L217</f>
        <v>38</v>
      </c>
      <c r="N217" s="53">
        <f>L217/K217</f>
        <v>0.24</v>
      </c>
      <c r="O217" s="54" t="s">
        <v>496</v>
      </c>
    </row>
    <row r="218" spans="1:15" s="3" customFormat="1" ht="30.6" customHeight="1" x14ac:dyDescent="0.5">
      <c r="A218" s="3" t="s">
        <v>576</v>
      </c>
      <c r="B218" s="49">
        <v>3</v>
      </c>
      <c r="C218" s="10" t="s">
        <v>651</v>
      </c>
      <c r="D218" s="11" t="s">
        <v>652</v>
      </c>
      <c r="E218" s="18">
        <f>30+130</f>
        <v>160</v>
      </c>
      <c r="F218" s="18">
        <v>45</v>
      </c>
      <c r="G218" s="18">
        <v>45</v>
      </c>
      <c r="H218" s="18">
        <v>40</v>
      </c>
      <c r="I218" s="18">
        <v>0</v>
      </c>
      <c r="J218" s="18">
        <v>0</v>
      </c>
      <c r="K218" s="18">
        <f>E218-F218-G218-H218-I218-J218</f>
        <v>30</v>
      </c>
      <c r="L218" s="18">
        <v>12</v>
      </c>
      <c r="M218" s="18">
        <f>K218-L218</f>
        <v>18</v>
      </c>
      <c r="N218" s="32">
        <f>L218/K218</f>
        <v>0.4</v>
      </c>
      <c r="O218" s="21" t="s">
        <v>497</v>
      </c>
    </row>
    <row r="219" spans="1:15" s="3" customFormat="1" ht="30.6" customHeight="1" x14ac:dyDescent="0.5">
      <c r="A219" s="3" t="s">
        <v>576</v>
      </c>
      <c r="B219" s="49">
        <v>4</v>
      </c>
      <c r="C219" s="10" t="s">
        <v>579</v>
      </c>
      <c r="D219" s="11" t="s">
        <v>580</v>
      </c>
      <c r="E219" s="18">
        <f>10+5+115</f>
        <v>130</v>
      </c>
      <c r="F219" s="18">
        <v>45</v>
      </c>
      <c r="G219" s="18">
        <v>20</v>
      </c>
      <c r="H219" s="18">
        <v>39</v>
      </c>
      <c r="I219" s="18">
        <v>0</v>
      </c>
      <c r="J219" s="18">
        <v>0</v>
      </c>
      <c r="K219" s="18">
        <f>E219-F219-G219-H219-I219-J219</f>
        <v>26</v>
      </c>
      <c r="L219" s="18">
        <v>14</v>
      </c>
      <c r="M219" s="18">
        <f>K219-L219</f>
        <v>12</v>
      </c>
      <c r="N219" s="33">
        <f>L219/K219</f>
        <v>0.53846153846153844</v>
      </c>
      <c r="O219" s="34" t="s">
        <v>498</v>
      </c>
    </row>
    <row r="220" spans="1:15" s="3" customFormat="1" ht="30.6" customHeight="1" x14ac:dyDescent="0.5">
      <c r="A220" s="3" t="s">
        <v>576</v>
      </c>
      <c r="B220" s="49">
        <v>5</v>
      </c>
      <c r="C220" s="10" t="s">
        <v>581</v>
      </c>
      <c r="D220" s="11" t="s">
        <v>582</v>
      </c>
      <c r="E220" s="18">
        <f>10+5+140</f>
        <v>155</v>
      </c>
      <c r="F220" s="18">
        <v>55</v>
      </c>
      <c r="G220" s="18">
        <v>30</v>
      </c>
      <c r="H220" s="18">
        <v>47</v>
      </c>
      <c r="I220" s="18">
        <v>0</v>
      </c>
      <c r="J220" s="18">
        <v>0</v>
      </c>
      <c r="K220" s="18">
        <f>E220-F220-G220-H220-I220-J220</f>
        <v>23</v>
      </c>
      <c r="L220" s="18">
        <v>18</v>
      </c>
      <c r="M220" s="18">
        <f>K220-L220</f>
        <v>5</v>
      </c>
      <c r="N220" s="25">
        <f>L220/K220</f>
        <v>0.78260869565217395</v>
      </c>
      <c r="O220" s="36" t="s">
        <v>495</v>
      </c>
    </row>
    <row r="221" spans="1:15" s="3" customFormat="1" ht="30" customHeight="1" x14ac:dyDescent="0.5">
      <c r="A221" s="3" t="s">
        <v>628</v>
      </c>
      <c r="B221" s="49">
        <v>1</v>
      </c>
      <c r="C221" s="7" t="s">
        <v>585</v>
      </c>
      <c r="D221" s="7" t="s">
        <v>586</v>
      </c>
      <c r="E221" s="30">
        <f>20+100</f>
        <v>120</v>
      </c>
      <c r="F221" s="30">
        <f>0+10+20</f>
        <v>30</v>
      </c>
      <c r="G221" s="30">
        <f>0+10</f>
        <v>10</v>
      </c>
      <c r="H221" s="30">
        <v>20</v>
      </c>
      <c r="I221" s="30">
        <v>0</v>
      </c>
      <c r="J221" s="30">
        <v>0</v>
      </c>
      <c r="K221" s="30">
        <f>E221-F221-G221-H221-I221-J221</f>
        <v>60</v>
      </c>
      <c r="L221" s="30">
        <v>47</v>
      </c>
      <c r="M221" s="30">
        <f>K221-L221</f>
        <v>13</v>
      </c>
      <c r="N221" s="35">
        <f>L221/K221</f>
        <v>0.78333333333333333</v>
      </c>
      <c r="O221" s="36" t="s">
        <v>495</v>
      </c>
    </row>
    <row r="222" spans="1:15" s="3" customFormat="1" ht="30" customHeight="1" x14ac:dyDescent="0.5">
      <c r="A222" s="3" t="s">
        <v>628</v>
      </c>
      <c r="B222" s="49">
        <v>2</v>
      </c>
      <c r="C222" s="7" t="s">
        <v>587</v>
      </c>
      <c r="D222" s="7" t="s">
        <v>588</v>
      </c>
      <c r="E222" s="30">
        <f>25+10+65</f>
        <v>100</v>
      </c>
      <c r="F222" s="30">
        <f>0+10+20</f>
        <v>30</v>
      </c>
      <c r="G222" s="30">
        <v>0</v>
      </c>
      <c r="H222" s="30">
        <v>10</v>
      </c>
      <c r="I222" s="30">
        <v>0</v>
      </c>
      <c r="J222" s="30">
        <v>0</v>
      </c>
      <c r="K222" s="30">
        <f>E222-F222-G222-H222-I222-J222</f>
        <v>60</v>
      </c>
      <c r="L222" s="30">
        <v>58</v>
      </c>
      <c r="M222" s="30">
        <f>K222-L222</f>
        <v>2</v>
      </c>
      <c r="N222" s="35">
        <f>L222/K222</f>
        <v>0.96666666666666667</v>
      </c>
      <c r="O222" s="36" t="s">
        <v>495</v>
      </c>
    </row>
    <row r="223" spans="1:15" s="3" customFormat="1" ht="30" customHeight="1" x14ac:dyDescent="0.5">
      <c r="A223" s="3" t="s">
        <v>536</v>
      </c>
      <c r="B223" s="49">
        <v>1</v>
      </c>
      <c r="C223" s="10" t="s">
        <v>538</v>
      </c>
      <c r="D223" s="7" t="s">
        <v>545</v>
      </c>
      <c r="E223" s="30">
        <f>50+124</f>
        <v>174</v>
      </c>
      <c r="F223" s="30">
        <f>0+10+20</f>
        <v>30</v>
      </c>
      <c r="G223" s="30">
        <v>15</v>
      </c>
      <c r="H223" s="30">
        <v>50</v>
      </c>
      <c r="I223" s="30">
        <v>0</v>
      </c>
      <c r="J223" s="30">
        <v>0</v>
      </c>
      <c r="K223" s="30">
        <f t="shared" ref="K223:K229" si="31">E223-F223-G223-H223-I223-J223</f>
        <v>79</v>
      </c>
      <c r="L223" s="30">
        <v>76</v>
      </c>
      <c r="M223" s="30">
        <f t="shared" ref="M223:M229" si="32">K223-L223</f>
        <v>3</v>
      </c>
      <c r="N223" s="35">
        <f t="shared" ref="N223:N229" si="33">L223/K223</f>
        <v>0.96202531645569622</v>
      </c>
      <c r="O223" s="36" t="s">
        <v>495</v>
      </c>
    </row>
    <row r="224" spans="1:15" s="3" customFormat="1" ht="30" customHeight="1" x14ac:dyDescent="0.5">
      <c r="A224" s="3" t="s">
        <v>536</v>
      </c>
      <c r="B224" s="49">
        <v>2</v>
      </c>
      <c r="C224" s="10" t="s">
        <v>537</v>
      </c>
      <c r="D224" s="7" t="s">
        <v>544</v>
      </c>
      <c r="E224" s="30">
        <f>50+140</f>
        <v>190</v>
      </c>
      <c r="F224" s="30">
        <v>52</v>
      </c>
      <c r="G224" s="30">
        <v>15</v>
      </c>
      <c r="H224" s="30">
        <v>60</v>
      </c>
      <c r="I224" s="30">
        <v>0</v>
      </c>
      <c r="J224" s="30">
        <v>0</v>
      </c>
      <c r="K224" s="30">
        <f t="shared" si="31"/>
        <v>63</v>
      </c>
      <c r="L224" s="30">
        <v>61</v>
      </c>
      <c r="M224" s="30">
        <f t="shared" si="32"/>
        <v>2</v>
      </c>
      <c r="N224" s="35">
        <f t="shared" si="33"/>
        <v>0.96825396825396826</v>
      </c>
      <c r="O224" s="36" t="s">
        <v>495</v>
      </c>
    </row>
    <row r="225" spans="1:15" s="3" customFormat="1" ht="30" customHeight="1" x14ac:dyDescent="0.5">
      <c r="A225" s="3" t="s">
        <v>536</v>
      </c>
      <c r="B225" s="49">
        <v>3</v>
      </c>
      <c r="C225" s="10" t="s">
        <v>539</v>
      </c>
      <c r="D225" s="7" t="s">
        <v>546</v>
      </c>
      <c r="E225" s="30">
        <f>50+128</f>
        <v>178</v>
      </c>
      <c r="F225" s="30">
        <f>0+10+30</f>
        <v>40</v>
      </c>
      <c r="G225" s="30">
        <v>15</v>
      </c>
      <c r="H225" s="30">
        <v>55</v>
      </c>
      <c r="I225" s="30">
        <v>0</v>
      </c>
      <c r="J225" s="30">
        <v>0</v>
      </c>
      <c r="K225" s="30">
        <f t="shared" si="31"/>
        <v>68</v>
      </c>
      <c r="L225" s="30">
        <v>67</v>
      </c>
      <c r="M225" s="30">
        <f t="shared" si="32"/>
        <v>1</v>
      </c>
      <c r="N225" s="35">
        <f t="shared" si="33"/>
        <v>0.98529411764705888</v>
      </c>
      <c r="O225" s="36" t="s">
        <v>495</v>
      </c>
    </row>
    <row r="226" spans="1:15" s="3" customFormat="1" ht="30" customHeight="1" x14ac:dyDescent="0.5">
      <c r="A226" s="3" t="s">
        <v>536</v>
      </c>
      <c r="B226" s="49">
        <v>4</v>
      </c>
      <c r="C226" s="10" t="s">
        <v>540</v>
      </c>
      <c r="D226" s="7" t="s">
        <v>547</v>
      </c>
      <c r="E226" s="30">
        <f>30+139</f>
        <v>169</v>
      </c>
      <c r="F226" s="30">
        <f>0+10</f>
        <v>10</v>
      </c>
      <c r="G226" s="30">
        <v>0</v>
      </c>
      <c r="H226" s="30">
        <f>0+10+20+20</f>
        <v>50</v>
      </c>
      <c r="I226" s="30">
        <v>0</v>
      </c>
      <c r="J226" s="30">
        <v>0</v>
      </c>
      <c r="K226" s="30">
        <f t="shared" si="31"/>
        <v>109</v>
      </c>
      <c r="L226" s="30">
        <v>108</v>
      </c>
      <c r="M226" s="30">
        <f t="shared" si="32"/>
        <v>1</v>
      </c>
      <c r="N226" s="35">
        <f t="shared" si="33"/>
        <v>0.99082568807339455</v>
      </c>
      <c r="O226" s="36" t="s">
        <v>495</v>
      </c>
    </row>
    <row r="227" spans="1:15" s="3" customFormat="1" ht="30" customHeight="1" x14ac:dyDescent="0.5">
      <c r="A227" s="3" t="s">
        <v>536</v>
      </c>
      <c r="B227" s="49">
        <v>5</v>
      </c>
      <c r="C227" s="10" t="s">
        <v>543</v>
      </c>
      <c r="D227" s="7" t="s">
        <v>550</v>
      </c>
      <c r="E227" s="30">
        <f>25+54</f>
        <v>79</v>
      </c>
      <c r="F227" s="30">
        <f>0+10</f>
        <v>10</v>
      </c>
      <c r="G227" s="30">
        <v>0</v>
      </c>
      <c r="H227" s="30">
        <f>0+20</f>
        <v>20</v>
      </c>
      <c r="I227" s="30">
        <v>0</v>
      </c>
      <c r="J227" s="30">
        <v>0</v>
      </c>
      <c r="K227" s="30">
        <f t="shared" si="31"/>
        <v>49</v>
      </c>
      <c r="L227" s="30">
        <v>49</v>
      </c>
      <c r="M227" s="30">
        <f t="shared" si="32"/>
        <v>0</v>
      </c>
      <c r="N227" s="56">
        <f t="shared" si="33"/>
        <v>1</v>
      </c>
      <c r="O227" s="57" t="s">
        <v>499</v>
      </c>
    </row>
    <row r="228" spans="1:15" s="3" customFormat="1" ht="30" customHeight="1" x14ac:dyDescent="0.5">
      <c r="A228" s="3" t="s">
        <v>536</v>
      </c>
      <c r="B228" s="49">
        <v>6</v>
      </c>
      <c r="C228" s="10" t="s">
        <v>541</v>
      </c>
      <c r="D228" s="7" t="s">
        <v>548</v>
      </c>
      <c r="E228" s="30">
        <f>25+15</f>
        <v>40</v>
      </c>
      <c r="F228" s="30">
        <f>0+8</f>
        <v>8</v>
      </c>
      <c r="G228" s="30">
        <v>0</v>
      </c>
      <c r="H228" s="30">
        <f>0+10</f>
        <v>10</v>
      </c>
      <c r="I228" s="30">
        <v>0</v>
      </c>
      <c r="J228" s="30">
        <v>0</v>
      </c>
      <c r="K228" s="30">
        <f t="shared" si="31"/>
        <v>22</v>
      </c>
      <c r="L228" s="30">
        <f>5+2+2+2+2+2+2+3+2</f>
        <v>22</v>
      </c>
      <c r="M228" s="30">
        <f t="shared" si="32"/>
        <v>0</v>
      </c>
      <c r="N228" s="56">
        <f t="shared" si="33"/>
        <v>1</v>
      </c>
      <c r="O228" s="57" t="s">
        <v>499</v>
      </c>
    </row>
    <row r="229" spans="1:15" s="3" customFormat="1" ht="30" customHeight="1" x14ac:dyDescent="0.5">
      <c r="A229" s="3" t="s">
        <v>536</v>
      </c>
      <c r="B229" s="49">
        <v>7</v>
      </c>
      <c r="C229" s="10" t="s">
        <v>542</v>
      </c>
      <c r="D229" s="7" t="s">
        <v>549</v>
      </c>
      <c r="E229" s="30">
        <f>20+69</f>
        <v>89</v>
      </c>
      <c r="F229" s="30">
        <f>0+5</f>
        <v>5</v>
      </c>
      <c r="G229" s="30">
        <v>0</v>
      </c>
      <c r="H229" s="30">
        <f>0+10</f>
        <v>10</v>
      </c>
      <c r="I229" s="30">
        <v>0</v>
      </c>
      <c r="J229" s="30">
        <v>0</v>
      </c>
      <c r="K229" s="30">
        <f t="shared" si="31"/>
        <v>74</v>
      </c>
      <c r="L229" s="30">
        <f>5+2+4+54+3+2+2+1+1</f>
        <v>74</v>
      </c>
      <c r="M229" s="30">
        <f t="shared" si="32"/>
        <v>0</v>
      </c>
      <c r="N229" s="56">
        <f t="shared" si="33"/>
        <v>1</v>
      </c>
      <c r="O229" s="57" t="s">
        <v>499</v>
      </c>
    </row>
    <row r="230" spans="1:15" s="3" customFormat="1" ht="30" customHeight="1" x14ac:dyDescent="0.45">
      <c r="A230" s="3" t="s">
        <v>644</v>
      </c>
      <c r="B230" s="47">
        <v>1</v>
      </c>
      <c r="C230" s="7" t="s">
        <v>890</v>
      </c>
      <c r="D230" s="8" t="s">
        <v>893</v>
      </c>
      <c r="E230" s="18">
        <v>40</v>
      </c>
      <c r="F230" s="18">
        <v>0</v>
      </c>
      <c r="G230" s="18">
        <v>10</v>
      </c>
      <c r="H230" s="18">
        <v>0</v>
      </c>
      <c r="I230" s="18">
        <v>0</v>
      </c>
      <c r="J230" s="18">
        <v>0</v>
      </c>
      <c r="K230" s="19">
        <f t="shared" ref="K230:K266" si="34">E230-F230-G230-H230-I230-J230</f>
        <v>30</v>
      </c>
      <c r="L230" s="19">
        <v>3</v>
      </c>
      <c r="M230" s="19">
        <f t="shared" ref="M230:M266" si="35">K230-L230</f>
        <v>27</v>
      </c>
      <c r="N230" s="59">
        <f t="shared" ref="N230:N266" si="36">L230/K230</f>
        <v>0.1</v>
      </c>
      <c r="O230" s="60" t="s">
        <v>496</v>
      </c>
    </row>
    <row r="231" spans="1:15" s="3" customFormat="1" ht="30" customHeight="1" x14ac:dyDescent="0.45">
      <c r="A231" s="3" t="s">
        <v>644</v>
      </c>
      <c r="B231" s="47">
        <v>2</v>
      </c>
      <c r="C231" s="7" t="s">
        <v>670</v>
      </c>
      <c r="D231" s="8" t="s">
        <v>179</v>
      </c>
      <c r="E231" s="18">
        <f>99+30</f>
        <v>129</v>
      </c>
      <c r="F231" s="18">
        <v>60</v>
      </c>
      <c r="G231" s="18">
        <v>10</v>
      </c>
      <c r="H231" s="18">
        <f>20+4</f>
        <v>24</v>
      </c>
      <c r="I231" s="18">
        <v>2</v>
      </c>
      <c r="J231" s="18">
        <v>0</v>
      </c>
      <c r="K231" s="19">
        <f t="shared" si="34"/>
        <v>33</v>
      </c>
      <c r="L231" s="19">
        <v>5</v>
      </c>
      <c r="M231" s="19">
        <f t="shared" si="35"/>
        <v>28</v>
      </c>
      <c r="N231" s="59">
        <f t="shared" si="36"/>
        <v>0.15151515151515152</v>
      </c>
      <c r="O231" s="60" t="s">
        <v>496</v>
      </c>
    </row>
    <row r="232" spans="1:15" s="3" customFormat="1" ht="30" customHeight="1" x14ac:dyDescent="0.45">
      <c r="A232" s="3" t="s">
        <v>644</v>
      </c>
      <c r="B232" s="47">
        <v>3</v>
      </c>
      <c r="C232" s="7" t="s">
        <v>655</v>
      </c>
      <c r="D232" s="8" t="s">
        <v>350</v>
      </c>
      <c r="E232" s="18">
        <v>150</v>
      </c>
      <c r="F232" s="18">
        <f>30+30</f>
        <v>60</v>
      </c>
      <c r="G232" s="18">
        <f>0+10</f>
        <v>10</v>
      </c>
      <c r="H232" s="18">
        <v>30</v>
      </c>
      <c r="I232" s="18">
        <v>0</v>
      </c>
      <c r="J232" s="18">
        <v>0</v>
      </c>
      <c r="K232" s="19">
        <f t="shared" si="34"/>
        <v>50</v>
      </c>
      <c r="L232" s="19">
        <v>10</v>
      </c>
      <c r="M232" s="19">
        <f t="shared" si="35"/>
        <v>40</v>
      </c>
      <c r="N232" s="59">
        <f t="shared" si="36"/>
        <v>0.2</v>
      </c>
      <c r="O232" s="60" t="s">
        <v>496</v>
      </c>
    </row>
    <row r="233" spans="1:15" s="3" customFormat="1" ht="30" customHeight="1" x14ac:dyDescent="0.45">
      <c r="A233" s="3" t="s">
        <v>644</v>
      </c>
      <c r="B233" s="47">
        <v>4</v>
      </c>
      <c r="C233" s="7" t="s">
        <v>656</v>
      </c>
      <c r="D233" s="8" t="s">
        <v>480</v>
      </c>
      <c r="E233" s="18">
        <v>100</v>
      </c>
      <c r="F233" s="18">
        <f>0+30+30</f>
        <v>60</v>
      </c>
      <c r="G233" s="18">
        <f>0+10+10</f>
        <v>20</v>
      </c>
      <c r="H233" s="18">
        <f>0+10</f>
        <v>10</v>
      </c>
      <c r="I233" s="18">
        <v>0</v>
      </c>
      <c r="J233" s="18">
        <v>0</v>
      </c>
      <c r="K233" s="19">
        <f t="shared" si="34"/>
        <v>10</v>
      </c>
      <c r="L233" s="19">
        <v>2</v>
      </c>
      <c r="M233" s="19">
        <f t="shared" si="35"/>
        <v>8</v>
      </c>
      <c r="N233" s="59">
        <f t="shared" si="36"/>
        <v>0.2</v>
      </c>
      <c r="O233" s="60" t="s">
        <v>496</v>
      </c>
    </row>
    <row r="234" spans="1:15" s="3" customFormat="1" ht="30" customHeight="1" x14ac:dyDescent="0.45">
      <c r="A234" s="3" t="s">
        <v>644</v>
      </c>
      <c r="B234" s="47">
        <v>5</v>
      </c>
      <c r="C234" s="7" t="s">
        <v>660</v>
      </c>
      <c r="D234" s="8" t="s">
        <v>172</v>
      </c>
      <c r="E234" s="18">
        <v>100</v>
      </c>
      <c r="F234" s="18">
        <v>50</v>
      </c>
      <c r="G234" s="18">
        <v>15</v>
      </c>
      <c r="H234" s="18">
        <v>20</v>
      </c>
      <c r="I234" s="18">
        <v>2</v>
      </c>
      <c r="J234" s="18">
        <v>0</v>
      </c>
      <c r="K234" s="19">
        <f t="shared" si="34"/>
        <v>13</v>
      </c>
      <c r="L234" s="19">
        <v>3</v>
      </c>
      <c r="M234" s="19">
        <f t="shared" si="35"/>
        <v>10</v>
      </c>
      <c r="N234" s="59">
        <f t="shared" si="36"/>
        <v>0.23076923076923078</v>
      </c>
      <c r="O234" s="60" t="s">
        <v>496</v>
      </c>
    </row>
    <row r="235" spans="1:15" s="3" customFormat="1" ht="30" customHeight="1" x14ac:dyDescent="0.45">
      <c r="A235" s="3" t="s">
        <v>644</v>
      </c>
      <c r="B235" s="47">
        <v>6</v>
      </c>
      <c r="C235" s="7" t="s">
        <v>674</v>
      </c>
      <c r="D235" s="8" t="s">
        <v>157</v>
      </c>
      <c r="E235" s="18">
        <f>99+1+20+20</f>
        <v>140</v>
      </c>
      <c r="F235" s="18">
        <v>40</v>
      </c>
      <c r="G235" s="18">
        <f>10+6</f>
        <v>16</v>
      </c>
      <c r="H235" s="18">
        <f>20+3+5</f>
        <v>28</v>
      </c>
      <c r="I235" s="18">
        <v>2</v>
      </c>
      <c r="J235" s="18">
        <v>0</v>
      </c>
      <c r="K235" s="19">
        <f t="shared" si="34"/>
        <v>54</v>
      </c>
      <c r="L235" s="19">
        <v>17</v>
      </c>
      <c r="M235" s="19">
        <f t="shared" si="35"/>
        <v>37</v>
      </c>
      <c r="N235" s="20">
        <f t="shared" si="36"/>
        <v>0.31481481481481483</v>
      </c>
      <c r="O235" s="22" t="s">
        <v>497</v>
      </c>
    </row>
    <row r="236" spans="1:15" s="3" customFormat="1" ht="30" customHeight="1" x14ac:dyDescent="0.45">
      <c r="A236" s="3" t="s">
        <v>644</v>
      </c>
      <c r="B236" s="47">
        <v>7</v>
      </c>
      <c r="C236" s="7" t="s">
        <v>678</v>
      </c>
      <c r="D236" s="8" t="s">
        <v>162</v>
      </c>
      <c r="E236" s="18">
        <v>200</v>
      </c>
      <c r="F236" s="18">
        <v>70</v>
      </c>
      <c r="G236" s="18">
        <f>20+10+5</f>
        <v>35</v>
      </c>
      <c r="H236" s="18">
        <v>20</v>
      </c>
      <c r="I236" s="18">
        <v>3</v>
      </c>
      <c r="J236" s="18">
        <v>0</v>
      </c>
      <c r="K236" s="19">
        <f t="shared" si="34"/>
        <v>72</v>
      </c>
      <c r="L236" s="19">
        <v>26</v>
      </c>
      <c r="M236" s="19">
        <f t="shared" si="35"/>
        <v>46</v>
      </c>
      <c r="N236" s="20">
        <f t="shared" si="36"/>
        <v>0.3611111111111111</v>
      </c>
      <c r="O236" s="22" t="s">
        <v>497</v>
      </c>
    </row>
    <row r="237" spans="1:15" s="3" customFormat="1" ht="30" customHeight="1" x14ac:dyDescent="0.45">
      <c r="A237" s="3" t="s">
        <v>644</v>
      </c>
      <c r="B237" s="47">
        <v>8</v>
      </c>
      <c r="C237" s="7" t="s">
        <v>666</v>
      </c>
      <c r="D237" s="8" t="s">
        <v>148</v>
      </c>
      <c r="E237" s="18">
        <v>159</v>
      </c>
      <c r="F237" s="18">
        <f>60+10</f>
        <v>70</v>
      </c>
      <c r="G237" s="18">
        <v>10</v>
      </c>
      <c r="H237" s="18">
        <v>30</v>
      </c>
      <c r="I237" s="18">
        <v>2</v>
      </c>
      <c r="J237" s="18">
        <v>0</v>
      </c>
      <c r="K237" s="19">
        <f t="shared" si="34"/>
        <v>47</v>
      </c>
      <c r="L237" s="19">
        <v>17</v>
      </c>
      <c r="M237" s="19">
        <f t="shared" si="35"/>
        <v>30</v>
      </c>
      <c r="N237" s="71">
        <f t="shared" si="36"/>
        <v>0.36170212765957449</v>
      </c>
      <c r="O237" s="72" t="s">
        <v>497</v>
      </c>
    </row>
    <row r="238" spans="1:15" s="3" customFormat="1" ht="30" customHeight="1" x14ac:dyDescent="0.45">
      <c r="A238" s="3" t="s">
        <v>644</v>
      </c>
      <c r="B238" s="47">
        <v>9</v>
      </c>
      <c r="C238" s="7" t="s">
        <v>665</v>
      </c>
      <c r="D238" s="8" t="s">
        <v>183</v>
      </c>
      <c r="E238" s="18">
        <v>102</v>
      </c>
      <c r="F238" s="18">
        <v>50</v>
      </c>
      <c r="G238" s="18">
        <f>10+4</f>
        <v>14</v>
      </c>
      <c r="H238" s="18">
        <v>20</v>
      </c>
      <c r="I238" s="18">
        <f>2+5</f>
        <v>7</v>
      </c>
      <c r="J238" s="18">
        <v>0</v>
      </c>
      <c r="K238" s="19">
        <f t="shared" si="34"/>
        <v>11</v>
      </c>
      <c r="L238" s="19">
        <v>5</v>
      </c>
      <c r="M238" s="19">
        <f t="shared" si="35"/>
        <v>6</v>
      </c>
      <c r="N238" s="20">
        <f t="shared" si="36"/>
        <v>0.45454545454545453</v>
      </c>
      <c r="O238" s="22" t="s">
        <v>497</v>
      </c>
    </row>
    <row r="239" spans="1:15" s="3" customFormat="1" ht="30" customHeight="1" x14ac:dyDescent="0.45">
      <c r="A239" s="3" t="s">
        <v>644</v>
      </c>
      <c r="B239" s="47">
        <v>10</v>
      </c>
      <c r="C239" s="7" t="s">
        <v>657</v>
      </c>
      <c r="D239" s="8" t="s">
        <v>173</v>
      </c>
      <c r="E239" s="18">
        <v>149</v>
      </c>
      <c r="F239" s="18">
        <f>60+20+10</f>
        <v>90</v>
      </c>
      <c r="G239" s="18">
        <v>20</v>
      </c>
      <c r="H239" s="18">
        <v>20</v>
      </c>
      <c r="I239" s="18">
        <v>2</v>
      </c>
      <c r="J239" s="18">
        <v>0</v>
      </c>
      <c r="K239" s="19">
        <f t="shared" si="34"/>
        <v>17</v>
      </c>
      <c r="L239" s="19">
        <v>8</v>
      </c>
      <c r="M239" s="19">
        <f t="shared" si="35"/>
        <v>9</v>
      </c>
      <c r="N239" s="20">
        <f t="shared" si="36"/>
        <v>0.47058823529411764</v>
      </c>
      <c r="O239" s="22" t="s">
        <v>497</v>
      </c>
    </row>
    <row r="240" spans="1:15" s="3" customFormat="1" ht="30" customHeight="1" x14ac:dyDescent="0.45">
      <c r="A240" s="3" t="s">
        <v>644</v>
      </c>
      <c r="B240" s="47">
        <v>11</v>
      </c>
      <c r="C240" s="7" t="s">
        <v>664</v>
      </c>
      <c r="D240" s="8" t="s">
        <v>155</v>
      </c>
      <c r="E240" s="18">
        <v>99</v>
      </c>
      <c r="F240" s="18">
        <f>40+10</f>
        <v>50</v>
      </c>
      <c r="G240" s="18">
        <v>15</v>
      </c>
      <c r="H240" s="18">
        <v>20</v>
      </c>
      <c r="I240" s="18">
        <v>2</v>
      </c>
      <c r="J240" s="18">
        <v>0</v>
      </c>
      <c r="K240" s="19">
        <f t="shared" si="34"/>
        <v>12</v>
      </c>
      <c r="L240" s="19">
        <v>6</v>
      </c>
      <c r="M240" s="19">
        <f t="shared" si="35"/>
        <v>6</v>
      </c>
      <c r="N240" s="20">
        <f t="shared" si="36"/>
        <v>0.5</v>
      </c>
      <c r="O240" s="22" t="s">
        <v>497</v>
      </c>
    </row>
    <row r="241" spans="1:15" s="3" customFormat="1" ht="30" customHeight="1" x14ac:dyDescent="0.45">
      <c r="A241" s="3" t="s">
        <v>644</v>
      </c>
      <c r="B241" s="47">
        <v>12</v>
      </c>
      <c r="C241" s="7" t="s">
        <v>676</v>
      </c>
      <c r="D241" s="8" t="s">
        <v>164</v>
      </c>
      <c r="E241" s="18">
        <f>150+30</f>
        <v>180</v>
      </c>
      <c r="F241" s="18">
        <v>80</v>
      </c>
      <c r="G241" s="18">
        <f>10+7</f>
        <v>17</v>
      </c>
      <c r="H241" s="18">
        <f>20+6</f>
        <v>26</v>
      </c>
      <c r="I241" s="18">
        <v>3</v>
      </c>
      <c r="J241" s="18">
        <v>0</v>
      </c>
      <c r="K241" s="19">
        <f t="shared" si="34"/>
        <v>54</v>
      </c>
      <c r="L241" s="19">
        <v>30</v>
      </c>
      <c r="M241" s="19">
        <f t="shared" si="35"/>
        <v>24</v>
      </c>
      <c r="N241" s="23">
        <f t="shared" si="36"/>
        <v>0.55555555555555558</v>
      </c>
      <c r="O241" s="24" t="s">
        <v>498</v>
      </c>
    </row>
    <row r="242" spans="1:15" s="3" customFormat="1" ht="30" customHeight="1" x14ac:dyDescent="0.45">
      <c r="A242" s="3" t="s">
        <v>644</v>
      </c>
      <c r="B242" s="47">
        <v>13</v>
      </c>
      <c r="C242" s="7" t="s">
        <v>668</v>
      </c>
      <c r="D242" s="8" t="s">
        <v>182</v>
      </c>
      <c r="E242" s="18">
        <f>100+20</f>
        <v>120</v>
      </c>
      <c r="F242" s="18">
        <v>60</v>
      </c>
      <c r="G242" s="18">
        <v>10</v>
      </c>
      <c r="H242" s="18">
        <v>25</v>
      </c>
      <c r="I242" s="18">
        <v>2</v>
      </c>
      <c r="J242" s="18">
        <v>0</v>
      </c>
      <c r="K242" s="19">
        <f t="shared" si="34"/>
        <v>23</v>
      </c>
      <c r="L242" s="19">
        <v>14</v>
      </c>
      <c r="M242" s="19">
        <f t="shared" si="35"/>
        <v>9</v>
      </c>
      <c r="N242" s="80">
        <f t="shared" si="36"/>
        <v>0.60869565217391308</v>
      </c>
      <c r="O242" s="81" t="s">
        <v>498</v>
      </c>
    </row>
    <row r="243" spans="1:15" s="3" customFormat="1" ht="28.8" customHeight="1" x14ac:dyDescent="0.45">
      <c r="A243" s="3" t="s">
        <v>644</v>
      </c>
      <c r="B243" s="47">
        <v>14</v>
      </c>
      <c r="C243" s="7" t="s">
        <v>680</v>
      </c>
      <c r="D243" s="8" t="s">
        <v>159</v>
      </c>
      <c r="E243" s="18">
        <f>147+40</f>
        <v>187</v>
      </c>
      <c r="F243" s="18">
        <v>75</v>
      </c>
      <c r="G243" s="18">
        <f>20+5</f>
        <v>25</v>
      </c>
      <c r="H243" s="18">
        <v>70</v>
      </c>
      <c r="I243" s="18">
        <v>2</v>
      </c>
      <c r="J243" s="18">
        <v>0</v>
      </c>
      <c r="K243" s="19">
        <f t="shared" si="34"/>
        <v>15</v>
      </c>
      <c r="L243" s="19">
        <v>9</v>
      </c>
      <c r="M243" s="19">
        <f t="shared" si="35"/>
        <v>6</v>
      </c>
      <c r="N243" s="80">
        <f t="shared" si="36"/>
        <v>0.6</v>
      </c>
      <c r="O243" s="81" t="s">
        <v>498</v>
      </c>
    </row>
    <row r="244" spans="1:15" s="3" customFormat="1" ht="30" customHeight="1" x14ac:dyDescent="0.45">
      <c r="A244" s="3" t="s">
        <v>644</v>
      </c>
      <c r="B244" s="47">
        <v>15</v>
      </c>
      <c r="C244" s="7" t="s">
        <v>658</v>
      </c>
      <c r="D244" s="8" t="s">
        <v>481</v>
      </c>
      <c r="E244" s="18">
        <v>149</v>
      </c>
      <c r="F244" s="18">
        <f>30+10+30+20</f>
        <v>90</v>
      </c>
      <c r="G244" s="18">
        <v>5</v>
      </c>
      <c r="H244" s="18">
        <f>0+10+10+10</f>
        <v>30</v>
      </c>
      <c r="I244" s="18">
        <v>0</v>
      </c>
      <c r="J244" s="18">
        <v>0</v>
      </c>
      <c r="K244" s="19">
        <f t="shared" si="34"/>
        <v>24</v>
      </c>
      <c r="L244" s="19">
        <v>15</v>
      </c>
      <c r="M244" s="19">
        <f t="shared" si="35"/>
        <v>9</v>
      </c>
      <c r="N244" s="23">
        <f t="shared" si="36"/>
        <v>0.625</v>
      </c>
      <c r="O244" s="24" t="s">
        <v>498</v>
      </c>
    </row>
    <row r="245" spans="1:15" s="3" customFormat="1" ht="30" customHeight="1" x14ac:dyDescent="0.45">
      <c r="A245" s="3" t="s">
        <v>644</v>
      </c>
      <c r="B245" s="47">
        <v>16</v>
      </c>
      <c r="C245" s="7" t="s">
        <v>161</v>
      </c>
      <c r="D245" s="8" t="s">
        <v>482</v>
      </c>
      <c r="E245" s="18">
        <v>100</v>
      </c>
      <c r="F245" s="18">
        <v>45</v>
      </c>
      <c r="G245" s="18">
        <v>21</v>
      </c>
      <c r="H245" s="18">
        <v>20</v>
      </c>
      <c r="I245" s="18">
        <v>2</v>
      </c>
      <c r="J245" s="18">
        <v>0</v>
      </c>
      <c r="K245" s="19">
        <f t="shared" si="34"/>
        <v>12</v>
      </c>
      <c r="L245" s="19">
        <v>8</v>
      </c>
      <c r="M245" s="19">
        <f t="shared" si="35"/>
        <v>4</v>
      </c>
      <c r="N245" s="23">
        <f t="shared" si="36"/>
        <v>0.66666666666666663</v>
      </c>
      <c r="O245" s="24" t="s">
        <v>498</v>
      </c>
    </row>
    <row r="246" spans="1:15" s="3" customFormat="1" ht="30" customHeight="1" x14ac:dyDescent="0.45">
      <c r="A246" s="3" t="s">
        <v>644</v>
      </c>
      <c r="B246" s="47">
        <v>17</v>
      </c>
      <c r="C246" s="7" t="s">
        <v>661</v>
      </c>
      <c r="D246" s="8" t="s">
        <v>174</v>
      </c>
      <c r="E246" s="18">
        <v>150</v>
      </c>
      <c r="F246" s="18">
        <f>60+10</f>
        <v>70</v>
      </c>
      <c r="G246" s="18">
        <f>10+10</f>
        <v>20</v>
      </c>
      <c r="H246" s="18">
        <f>20+10</f>
        <v>30</v>
      </c>
      <c r="I246" s="18">
        <f>3+5</f>
        <v>8</v>
      </c>
      <c r="J246" s="18">
        <v>0</v>
      </c>
      <c r="K246" s="19">
        <f t="shared" si="34"/>
        <v>22</v>
      </c>
      <c r="L246" s="19">
        <v>15</v>
      </c>
      <c r="M246" s="19">
        <f t="shared" si="35"/>
        <v>7</v>
      </c>
      <c r="N246" s="23">
        <f t="shared" si="36"/>
        <v>0.68181818181818177</v>
      </c>
      <c r="O246" s="24" t="s">
        <v>498</v>
      </c>
    </row>
    <row r="247" spans="1:15" s="3" customFormat="1" ht="30" customHeight="1" x14ac:dyDescent="0.45">
      <c r="A247" s="3" t="s">
        <v>644</v>
      </c>
      <c r="B247" s="47">
        <v>18</v>
      </c>
      <c r="C247" s="7" t="s">
        <v>671</v>
      </c>
      <c r="D247" s="8" t="s">
        <v>154</v>
      </c>
      <c r="E247" s="18">
        <v>150</v>
      </c>
      <c r="F247" s="18">
        <v>60</v>
      </c>
      <c r="G247" s="18">
        <v>42</v>
      </c>
      <c r="H247" s="18">
        <v>30</v>
      </c>
      <c r="I247" s="18">
        <v>2</v>
      </c>
      <c r="J247" s="18">
        <v>0</v>
      </c>
      <c r="K247" s="19">
        <f t="shared" si="34"/>
        <v>16</v>
      </c>
      <c r="L247" s="19">
        <v>11</v>
      </c>
      <c r="M247" s="19">
        <f t="shared" si="35"/>
        <v>5</v>
      </c>
      <c r="N247" s="23">
        <f t="shared" si="36"/>
        <v>0.6875</v>
      </c>
      <c r="O247" s="24" t="s">
        <v>498</v>
      </c>
    </row>
    <row r="248" spans="1:15" s="3" customFormat="1" ht="30" customHeight="1" x14ac:dyDescent="0.45">
      <c r="A248" s="3" t="s">
        <v>644</v>
      </c>
      <c r="B248" s="47">
        <v>19</v>
      </c>
      <c r="C248" s="7" t="s">
        <v>669</v>
      </c>
      <c r="D248" s="8" t="s">
        <v>166</v>
      </c>
      <c r="E248" s="18">
        <v>102</v>
      </c>
      <c r="F248" s="18">
        <v>40</v>
      </c>
      <c r="G248" s="18">
        <v>13</v>
      </c>
      <c r="H248" s="18">
        <f>20+10</f>
        <v>30</v>
      </c>
      <c r="I248" s="18">
        <v>2</v>
      </c>
      <c r="J248" s="18">
        <v>0</v>
      </c>
      <c r="K248" s="19">
        <f t="shared" si="34"/>
        <v>17</v>
      </c>
      <c r="L248" s="19">
        <v>12</v>
      </c>
      <c r="M248" s="19">
        <f t="shared" si="35"/>
        <v>5</v>
      </c>
      <c r="N248" s="23">
        <f t="shared" si="36"/>
        <v>0.70588235294117652</v>
      </c>
      <c r="O248" s="24" t="s">
        <v>498</v>
      </c>
    </row>
    <row r="249" spans="1:15" s="3" customFormat="1" ht="30" customHeight="1" x14ac:dyDescent="0.45">
      <c r="A249" s="3" t="s">
        <v>644</v>
      </c>
      <c r="B249" s="47">
        <v>20</v>
      </c>
      <c r="C249" s="7" t="s">
        <v>662</v>
      </c>
      <c r="D249" s="8" t="s">
        <v>156</v>
      </c>
      <c r="E249" s="18">
        <v>149</v>
      </c>
      <c r="F249" s="18">
        <v>60</v>
      </c>
      <c r="G249" s="18">
        <v>30</v>
      </c>
      <c r="H249" s="18">
        <f>20+10+10</f>
        <v>40</v>
      </c>
      <c r="I249" s="18">
        <f>3+5</f>
        <v>8</v>
      </c>
      <c r="J249" s="18">
        <v>0</v>
      </c>
      <c r="K249" s="19">
        <f t="shared" si="34"/>
        <v>11</v>
      </c>
      <c r="L249" s="19">
        <v>8</v>
      </c>
      <c r="M249" s="19">
        <f t="shared" si="35"/>
        <v>3</v>
      </c>
      <c r="N249" s="23">
        <f t="shared" si="36"/>
        <v>0.72727272727272729</v>
      </c>
      <c r="O249" s="24" t="s">
        <v>498</v>
      </c>
    </row>
    <row r="250" spans="1:15" s="3" customFormat="1" ht="30" customHeight="1" x14ac:dyDescent="0.45">
      <c r="A250" s="3" t="s">
        <v>644</v>
      </c>
      <c r="B250" s="47">
        <v>21</v>
      </c>
      <c r="C250" s="7" t="s">
        <v>659</v>
      </c>
      <c r="D250" s="8" t="s">
        <v>153</v>
      </c>
      <c r="E250" s="18">
        <v>93</v>
      </c>
      <c r="F250" s="18">
        <v>40</v>
      </c>
      <c r="G250" s="18">
        <f>10+10</f>
        <v>20</v>
      </c>
      <c r="H250" s="18">
        <f>20+3+4</f>
        <v>27</v>
      </c>
      <c r="I250" s="18">
        <v>2</v>
      </c>
      <c r="J250" s="18">
        <v>0</v>
      </c>
      <c r="K250" s="19">
        <f t="shared" si="34"/>
        <v>4</v>
      </c>
      <c r="L250" s="19">
        <v>3</v>
      </c>
      <c r="M250" s="19">
        <f t="shared" si="35"/>
        <v>1</v>
      </c>
      <c r="N250" s="80">
        <f t="shared" si="36"/>
        <v>0.75</v>
      </c>
      <c r="O250" s="81" t="s">
        <v>498</v>
      </c>
    </row>
    <row r="251" spans="1:15" s="3" customFormat="1" ht="30" customHeight="1" x14ac:dyDescent="0.45">
      <c r="A251" s="3" t="s">
        <v>644</v>
      </c>
      <c r="B251" s="47">
        <v>22</v>
      </c>
      <c r="C251" s="7" t="s">
        <v>681</v>
      </c>
      <c r="D251" s="8" t="s">
        <v>160</v>
      </c>
      <c r="E251" s="18">
        <f>148+40+10</f>
        <v>198</v>
      </c>
      <c r="F251" s="18">
        <v>70</v>
      </c>
      <c r="G251" s="18">
        <v>25</v>
      </c>
      <c r="H251" s="18">
        <f>50+30</f>
        <v>80</v>
      </c>
      <c r="I251" s="18">
        <v>2</v>
      </c>
      <c r="J251" s="18">
        <v>0</v>
      </c>
      <c r="K251" s="19">
        <f t="shared" si="34"/>
        <v>21</v>
      </c>
      <c r="L251" s="19">
        <v>20</v>
      </c>
      <c r="M251" s="19">
        <f t="shared" si="35"/>
        <v>1</v>
      </c>
      <c r="N251" s="25">
        <f t="shared" si="36"/>
        <v>0.95238095238095233</v>
      </c>
      <c r="O251" s="26" t="s">
        <v>495</v>
      </c>
    </row>
    <row r="252" spans="1:15" s="3" customFormat="1" ht="30" customHeight="1" x14ac:dyDescent="0.45">
      <c r="A252" s="3" t="s">
        <v>644</v>
      </c>
      <c r="B252" s="47">
        <v>23</v>
      </c>
      <c r="C252" s="7" t="s">
        <v>683</v>
      </c>
      <c r="D252" s="8" t="s">
        <v>178</v>
      </c>
      <c r="E252" s="18">
        <v>150</v>
      </c>
      <c r="F252" s="18">
        <f>60+10+5</f>
        <v>75</v>
      </c>
      <c r="G252" s="18">
        <f>10+6+6</f>
        <v>22</v>
      </c>
      <c r="H252" s="18">
        <v>30</v>
      </c>
      <c r="I252" s="18">
        <v>2</v>
      </c>
      <c r="J252" s="18">
        <v>0</v>
      </c>
      <c r="K252" s="19">
        <f t="shared" si="34"/>
        <v>21</v>
      </c>
      <c r="L252" s="19">
        <v>19</v>
      </c>
      <c r="M252" s="19">
        <f t="shared" si="35"/>
        <v>2</v>
      </c>
      <c r="N252" s="25">
        <f t="shared" si="36"/>
        <v>0.90476190476190477</v>
      </c>
      <c r="O252" s="26" t="s">
        <v>495</v>
      </c>
    </row>
    <row r="253" spans="1:15" s="3" customFormat="1" ht="30" customHeight="1" x14ac:dyDescent="0.45">
      <c r="A253" s="3" t="s">
        <v>644</v>
      </c>
      <c r="B253" s="47">
        <v>24</v>
      </c>
      <c r="C253" s="7" t="s">
        <v>667</v>
      </c>
      <c r="D253" s="8" t="s">
        <v>149</v>
      </c>
      <c r="E253" s="18">
        <v>150</v>
      </c>
      <c r="F253" s="18">
        <f>60+10</f>
        <v>70</v>
      </c>
      <c r="G253" s="18">
        <v>20</v>
      </c>
      <c r="H253" s="18">
        <v>30</v>
      </c>
      <c r="I253" s="18">
        <v>2</v>
      </c>
      <c r="J253" s="18">
        <v>0</v>
      </c>
      <c r="K253" s="19">
        <f t="shared" si="34"/>
        <v>28</v>
      </c>
      <c r="L253" s="19">
        <v>24</v>
      </c>
      <c r="M253" s="19">
        <f t="shared" si="35"/>
        <v>4</v>
      </c>
      <c r="N253" s="25">
        <f t="shared" si="36"/>
        <v>0.8571428571428571</v>
      </c>
      <c r="O253" s="26" t="s">
        <v>495</v>
      </c>
    </row>
    <row r="254" spans="1:15" s="3" customFormat="1" ht="30" customHeight="1" x14ac:dyDescent="0.45">
      <c r="A254" s="3" t="s">
        <v>644</v>
      </c>
      <c r="B254" s="47">
        <v>25</v>
      </c>
      <c r="C254" s="7" t="s">
        <v>672</v>
      </c>
      <c r="D254" s="8" t="s">
        <v>165</v>
      </c>
      <c r="E254" s="18">
        <v>150</v>
      </c>
      <c r="F254" s="18">
        <v>60</v>
      </c>
      <c r="G254" s="18">
        <v>19</v>
      </c>
      <c r="H254" s="18">
        <f>30+10</f>
        <v>40</v>
      </c>
      <c r="I254" s="18">
        <v>2</v>
      </c>
      <c r="J254" s="18">
        <v>0</v>
      </c>
      <c r="K254" s="19">
        <f t="shared" si="34"/>
        <v>29</v>
      </c>
      <c r="L254" s="19">
        <v>26</v>
      </c>
      <c r="M254" s="19">
        <f t="shared" si="35"/>
        <v>3</v>
      </c>
      <c r="N254" s="25">
        <f t="shared" si="36"/>
        <v>0.89655172413793105</v>
      </c>
      <c r="O254" s="26" t="s">
        <v>495</v>
      </c>
    </row>
    <row r="255" spans="1:15" s="3" customFormat="1" ht="30" customHeight="1" x14ac:dyDescent="0.45">
      <c r="A255" s="3" t="s">
        <v>644</v>
      </c>
      <c r="B255" s="47">
        <v>26</v>
      </c>
      <c r="C255" s="7" t="s">
        <v>180</v>
      </c>
      <c r="D255" s="8" t="s">
        <v>181</v>
      </c>
      <c r="E255" s="18">
        <v>100</v>
      </c>
      <c r="F255" s="18">
        <v>40</v>
      </c>
      <c r="G255" s="18">
        <v>17</v>
      </c>
      <c r="H255" s="18">
        <v>30</v>
      </c>
      <c r="I255" s="18">
        <v>2</v>
      </c>
      <c r="J255" s="18">
        <v>0</v>
      </c>
      <c r="K255" s="19">
        <f t="shared" si="34"/>
        <v>11</v>
      </c>
      <c r="L255" s="19">
        <v>10</v>
      </c>
      <c r="M255" s="19">
        <f t="shared" si="35"/>
        <v>1</v>
      </c>
      <c r="N255" s="25">
        <f t="shared" si="36"/>
        <v>0.90909090909090906</v>
      </c>
      <c r="O255" s="26" t="s">
        <v>495</v>
      </c>
    </row>
    <row r="256" spans="1:15" s="3" customFormat="1" ht="30" customHeight="1" x14ac:dyDescent="0.45">
      <c r="A256" s="3" t="s">
        <v>644</v>
      </c>
      <c r="B256" s="47">
        <v>27</v>
      </c>
      <c r="C256" s="7" t="s">
        <v>679</v>
      </c>
      <c r="D256" s="8" t="s">
        <v>152</v>
      </c>
      <c r="E256" s="18">
        <f>150+40</f>
        <v>190</v>
      </c>
      <c r="F256" s="18">
        <v>70</v>
      </c>
      <c r="G256" s="18">
        <v>60</v>
      </c>
      <c r="H256" s="18">
        <v>25</v>
      </c>
      <c r="I256" s="18">
        <v>2</v>
      </c>
      <c r="J256" s="18">
        <v>0</v>
      </c>
      <c r="K256" s="19">
        <f t="shared" si="34"/>
        <v>33</v>
      </c>
      <c r="L256" s="19">
        <v>32</v>
      </c>
      <c r="M256" s="19">
        <f t="shared" si="35"/>
        <v>1</v>
      </c>
      <c r="N256" s="25">
        <f t="shared" si="36"/>
        <v>0.96969696969696972</v>
      </c>
      <c r="O256" s="26" t="s">
        <v>495</v>
      </c>
    </row>
    <row r="257" spans="1:15" s="3" customFormat="1" ht="30" customHeight="1" x14ac:dyDescent="0.45">
      <c r="A257" s="3" t="s">
        <v>644</v>
      </c>
      <c r="B257" s="47">
        <v>28</v>
      </c>
      <c r="C257" s="7" t="s">
        <v>150</v>
      </c>
      <c r="D257" s="8" t="s">
        <v>151</v>
      </c>
      <c r="E257" s="18">
        <v>150</v>
      </c>
      <c r="F257" s="18">
        <f>40+30</f>
        <v>70</v>
      </c>
      <c r="G257" s="18">
        <f>10+10</f>
        <v>20</v>
      </c>
      <c r="H257" s="18">
        <f>10+10+10</f>
        <v>30</v>
      </c>
      <c r="I257" s="18">
        <v>2</v>
      </c>
      <c r="J257" s="18">
        <v>0</v>
      </c>
      <c r="K257" s="19">
        <f t="shared" si="34"/>
        <v>28</v>
      </c>
      <c r="L257" s="19">
        <v>28</v>
      </c>
      <c r="M257" s="19">
        <f t="shared" si="35"/>
        <v>0</v>
      </c>
      <c r="N257" s="27">
        <f t="shared" si="36"/>
        <v>1</v>
      </c>
      <c r="O257" s="28" t="s">
        <v>499</v>
      </c>
    </row>
    <row r="258" spans="1:15" s="3" customFormat="1" ht="30" customHeight="1" x14ac:dyDescent="0.45">
      <c r="A258" s="3" t="s">
        <v>644</v>
      </c>
      <c r="B258" s="47">
        <v>29</v>
      </c>
      <c r="C258" s="7" t="s">
        <v>663</v>
      </c>
      <c r="D258" s="8" t="s">
        <v>167</v>
      </c>
      <c r="E258" s="18">
        <v>151</v>
      </c>
      <c r="F258" s="18">
        <f>60+15</f>
        <v>75</v>
      </c>
      <c r="G258" s="18">
        <f>20+10</f>
        <v>30</v>
      </c>
      <c r="H258" s="18">
        <f>20+10</f>
        <v>30</v>
      </c>
      <c r="I258" s="18">
        <v>2</v>
      </c>
      <c r="J258" s="18">
        <v>0</v>
      </c>
      <c r="K258" s="19">
        <f t="shared" si="34"/>
        <v>14</v>
      </c>
      <c r="L258" s="19">
        <v>14</v>
      </c>
      <c r="M258" s="19">
        <f t="shared" si="35"/>
        <v>0</v>
      </c>
      <c r="N258" s="27">
        <f t="shared" si="36"/>
        <v>1</v>
      </c>
      <c r="O258" s="28" t="s">
        <v>499</v>
      </c>
    </row>
    <row r="259" spans="1:15" s="3" customFormat="1" ht="30" customHeight="1" x14ac:dyDescent="0.45">
      <c r="A259" s="3" t="s">
        <v>644</v>
      </c>
      <c r="B259" s="47">
        <v>30</v>
      </c>
      <c r="C259" s="7" t="s">
        <v>888</v>
      </c>
      <c r="D259" s="8" t="s">
        <v>891</v>
      </c>
      <c r="E259" s="18">
        <v>20</v>
      </c>
      <c r="F259" s="18">
        <v>0</v>
      </c>
      <c r="G259" s="18">
        <v>0</v>
      </c>
      <c r="H259" s="18">
        <v>0</v>
      </c>
      <c r="I259" s="18">
        <v>2</v>
      </c>
      <c r="J259" s="18">
        <v>0</v>
      </c>
      <c r="K259" s="19">
        <f t="shared" si="34"/>
        <v>18</v>
      </c>
      <c r="L259" s="19">
        <v>18</v>
      </c>
      <c r="M259" s="19">
        <f t="shared" si="35"/>
        <v>0</v>
      </c>
      <c r="N259" s="27">
        <f t="shared" si="36"/>
        <v>1</v>
      </c>
      <c r="O259" s="28" t="s">
        <v>499</v>
      </c>
    </row>
    <row r="260" spans="1:15" s="3" customFormat="1" ht="30" customHeight="1" x14ac:dyDescent="0.45">
      <c r="A260" s="3" t="s">
        <v>644</v>
      </c>
      <c r="B260" s="47">
        <v>31</v>
      </c>
      <c r="C260" s="7" t="s">
        <v>889</v>
      </c>
      <c r="D260" s="8" t="s">
        <v>892</v>
      </c>
      <c r="E260" s="18">
        <v>20</v>
      </c>
      <c r="F260" s="18">
        <v>0</v>
      </c>
      <c r="G260" s="18">
        <v>0</v>
      </c>
      <c r="H260" s="18">
        <v>0</v>
      </c>
      <c r="I260" s="18">
        <v>2</v>
      </c>
      <c r="J260" s="18">
        <v>0</v>
      </c>
      <c r="K260" s="19">
        <f t="shared" si="34"/>
        <v>18</v>
      </c>
      <c r="L260" s="19">
        <v>18</v>
      </c>
      <c r="M260" s="19">
        <f t="shared" si="35"/>
        <v>0</v>
      </c>
      <c r="N260" s="27">
        <f t="shared" si="36"/>
        <v>1</v>
      </c>
      <c r="O260" s="28" t="s">
        <v>499</v>
      </c>
    </row>
    <row r="261" spans="1:15" s="3" customFormat="1" ht="30" customHeight="1" x14ac:dyDescent="0.45">
      <c r="A261" s="3" t="s">
        <v>644</v>
      </c>
      <c r="B261" s="47">
        <v>32</v>
      </c>
      <c r="C261" s="7" t="s">
        <v>723</v>
      </c>
      <c r="D261" s="8" t="s">
        <v>177</v>
      </c>
      <c r="E261" s="18">
        <v>152</v>
      </c>
      <c r="F261" s="18">
        <v>70</v>
      </c>
      <c r="G261" s="18">
        <f>10+10</f>
        <v>20</v>
      </c>
      <c r="H261" s="18">
        <f>20+10+5+5</f>
        <v>40</v>
      </c>
      <c r="I261" s="18">
        <f>2+5</f>
        <v>7</v>
      </c>
      <c r="J261" s="18">
        <v>0</v>
      </c>
      <c r="K261" s="19">
        <f t="shared" si="34"/>
        <v>15</v>
      </c>
      <c r="L261" s="19">
        <v>15</v>
      </c>
      <c r="M261" s="19">
        <f t="shared" si="35"/>
        <v>0</v>
      </c>
      <c r="N261" s="27">
        <f t="shared" si="36"/>
        <v>1</v>
      </c>
      <c r="O261" s="28" t="s">
        <v>499</v>
      </c>
    </row>
    <row r="262" spans="1:15" s="3" customFormat="1" ht="30" customHeight="1" x14ac:dyDescent="0.45">
      <c r="A262" s="3" t="s">
        <v>644</v>
      </c>
      <c r="B262" s="47">
        <v>33</v>
      </c>
      <c r="C262" s="7" t="s">
        <v>673</v>
      </c>
      <c r="D262" s="8" t="s">
        <v>158</v>
      </c>
      <c r="E262" s="18">
        <v>101</v>
      </c>
      <c r="F262" s="18">
        <v>40</v>
      </c>
      <c r="G262" s="18">
        <v>10</v>
      </c>
      <c r="H262" s="18">
        <f>20+10</f>
        <v>30</v>
      </c>
      <c r="I262" s="18">
        <v>2</v>
      </c>
      <c r="J262" s="18">
        <v>0</v>
      </c>
      <c r="K262" s="19">
        <f t="shared" si="34"/>
        <v>19</v>
      </c>
      <c r="L262" s="19">
        <v>19</v>
      </c>
      <c r="M262" s="19">
        <f t="shared" si="35"/>
        <v>0</v>
      </c>
      <c r="N262" s="27">
        <f t="shared" si="36"/>
        <v>1</v>
      </c>
      <c r="O262" s="28" t="s">
        <v>499</v>
      </c>
    </row>
    <row r="263" spans="1:15" s="3" customFormat="1" ht="30" customHeight="1" x14ac:dyDescent="0.45">
      <c r="A263" s="3" t="s">
        <v>644</v>
      </c>
      <c r="B263" s="47">
        <v>34</v>
      </c>
      <c r="C263" s="7" t="s">
        <v>175</v>
      </c>
      <c r="D263" s="8" t="s">
        <v>176</v>
      </c>
      <c r="E263" s="18">
        <v>152</v>
      </c>
      <c r="F263" s="18">
        <v>60</v>
      </c>
      <c r="G263" s="18">
        <f>16+5+10</f>
        <v>31</v>
      </c>
      <c r="H263" s="18">
        <f>25+10+5+10</f>
        <v>50</v>
      </c>
      <c r="I263" s="18">
        <v>2</v>
      </c>
      <c r="J263" s="18">
        <v>0</v>
      </c>
      <c r="K263" s="19">
        <f t="shared" si="34"/>
        <v>9</v>
      </c>
      <c r="L263" s="19">
        <v>9</v>
      </c>
      <c r="M263" s="19">
        <f t="shared" si="35"/>
        <v>0</v>
      </c>
      <c r="N263" s="27">
        <f t="shared" si="36"/>
        <v>1</v>
      </c>
      <c r="O263" s="28" t="s">
        <v>499</v>
      </c>
    </row>
    <row r="264" spans="1:15" s="3" customFormat="1" ht="30" customHeight="1" x14ac:dyDescent="0.45">
      <c r="A264" s="3" t="s">
        <v>644</v>
      </c>
      <c r="B264" s="47">
        <v>35</v>
      </c>
      <c r="C264" s="7" t="s">
        <v>675</v>
      </c>
      <c r="D264" s="8" t="s">
        <v>169</v>
      </c>
      <c r="E264" s="18">
        <v>138</v>
      </c>
      <c r="F264" s="18">
        <v>60</v>
      </c>
      <c r="G264" s="18">
        <f>10+5</f>
        <v>15</v>
      </c>
      <c r="H264" s="18">
        <v>20</v>
      </c>
      <c r="I264" s="18">
        <v>2</v>
      </c>
      <c r="J264" s="18">
        <v>0</v>
      </c>
      <c r="K264" s="19">
        <f t="shared" si="34"/>
        <v>41</v>
      </c>
      <c r="L264" s="19">
        <f>12+2+5+2+20</f>
        <v>41</v>
      </c>
      <c r="M264" s="19">
        <f t="shared" si="35"/>
        <v>0</v>
      </c>
      <c r="N264" s="27">
        <f t="shared" si="36"/>
        <v>1</v>
      </c>
      <c r="O264" s="28" t="s">
        <v>499</v>
      </c>
    </row>
    <row r="265" spans="1:15" s="3" customFormat="1" ht="30" customHeight="1" x14ac:dyDescent="0.45">
      <c r="A265" s="3" t="s">
        <v>644</v>
      </c>
      <c r="B265" s="47">
        <v>36</v>
      </c>
      <c r="C265" s="7" t="s">
        <v>677</v>
      </c>
      <c r="D265" s="8" t="s">
        <v>168</v>
      </c>
      <c r="E265" s="18">
        <v>100</v>
      </c>
      <c r="F265" s="18">
        <v>40</v>
      </c>
      <c r="G265" s="18">
        <v>10</v>
      </c>
      <c r="H265" s="18">
        <f>20+10</f>
        <v>30</v>
      </c>
      <c r="I265" s="18">
        <v>3</v>
      </c>
      <c r="J265" s="18">
        <v>0</v>
      </c>
      <c r="K265" s="19">
        <f t="shared" si="34"/>
        <v>17</v>
      </c>
      <c r="L265" s="19">
        <f>9+2+2+2+2</f>
        <v>17</v>
      </c>
      <c r="M265" s="19">
        <f t="shared" si="35"/>
        <v>0</v>
      </c>
      <c r="N265" s="27">
        <f t="shared" si="36"/>
        <v>1</v>
      </c>
      <c r="O265" s="28" t="s">
        <v>499</v>
      </c>
    </row>
    <row r="266" spans="1:15" s="3" customFormat="1" ht="31.2" customHeight="1" x14ac:dyDescent="0.45">
      <c r="A266" s="3" t="s">
        <v>644</v>
      </c>
      <c r="B266" s="47">
        <v>37</v>
      </c>
      <c r="C266" s="7" t="s">
        <v>682</v>
      </c>
      <c r="D266" s="8" t="s">
        <v>163</v>
      </c>
      <c r="E266" s="18">
        <v>94</v>
      </c>
      <c r="F266" s="18">
        <v>70</v>
      </c>
      <c r="G266" s="18">
        <v>0</v>
      </c>
      <c r="H266" s="18">
        <v>20</v>
      </c>
      <c r="I266" s="18">
        <v>2</v>
      </c>
      <c r="J266" s="18">
        <v>0</v>
      </c>
      <c r="K266" s="19">
        <f t="shared" si="34"/>
        <v>2</v>
      </c>
      <c r="L266" s="19">
        <v>2</v>
      </c>
      <c r="M266" s="19">
        <f t="shared" si="35"/>
        <v>0</v>
      </c>
      <c r="N266" s="27">
        <f t="shared" si="36"/>
        <v>1</v>
      </c>
      <c r="O266" s="28" t="s">
        <v>499</v>
      </c>
    </row>
    <row r="267" spans="1:15" s="3" customFormat="1" ht="30" customHeight="1" x14ac:dyDescent="0.45">
      <c r="A267" s="3" t="s">
        <v>483</v>
      </c>
      <c r="B267" s="47">
        <v>1</v>
      </c>
      <c r="C267" s="7" t="s">
        <v>184</v>
      </c>
      <c r="D267" s="8" t="s">
        <v>484</v>
      </c>
      <c r="E267" s="18">
        <v>60</v>
      </c>
      <c r="F267" s="18">
        <v>12</v>
      </c>
      <c r="G267" s="18">
        <f>10+4+8</f>
        <v>22</v>
      </c>
      <c r="H267" s="18">
        <f>10+8</f>
        <v>18</v>
      </c>
      <c r="I267" s="18">
        <v>2</v>
      </c>
      <c r="J267" s="18">
        <v>0</v>
      </c>
      <c r="K267" s="19">
        <f>E267-F267-G267-H267-I267-J267</f>
        <v>6</v>
      </c>
      <c r="L267" s="19">
        <v>0</v>
      </c>
      <c r="M267" s="19">
        <f>K267-L267</f>
        <v>6</v>
      </c>
      <c r="N267" s="37">
        <f t="shared" ref="N267:N274" si="37">L267/K267</f>
        <v>0</v>
      </c>
      <c r="O267" s="38" t="s">
        <v>500</v>
      </c>
    </row>
    <row r="268" spans="1:15" s="3" customFormat="1" ht="30" customHeight="1" x14ac:dyDescent="0.45">
      <c r="A268" s="3" t="s">
        <v>483</v>
      </c>
      <c r="B268" s="47">
        <v>2</v>
      </c>
      <c r="C268" s="7" t="s">
        <v>1054</v>
      </c>
      <c r="D268" s="8" t="s">
        <v>1055</v>
      </c>
      <c r="E268" s="18">
        <v>60</v>
      </c>
      <c r="F268" s="18">
        <v>19</v>
      </c>
      <c r="G268" s="18">
        <v>12</v>
      </c>
      <c r="H268" s="18">
        <v>25</v>
      </c>
      <c r="I268" s="18">
        <v>1</v>
      </c>
      <c r="J268" s="18">
        <v>0</v>
      </c>
      <c r="K268" s="19">
        <v>3</v>
      </c>
      <c r="L268" s="19">
        <v>0</v>
      </c>
      <c r="M268" s="19">
        <v>3</v>
      </c>
      <c r="N268" s="37">
        <f t="shared" si="37"/>
        <v>0</v>
      </c>
      <c r="O268" s="38" t="s">
        <v>500</v>
      </c>
    </row>
    <row r="269" spans="1:15" s="3" customFormat="1" ht="30" customHeight="1" x14ac:dyDescent="0.45">
      <c r="A269" s="3" t="s">
        <v>483</v>
      </c>
      <c r="B269" s="47">
        <v>3</v>
      </c>
      <c r="C269" s="7" t="s">
        <v>192</v>
      </c>
      <c r="D269" s="8" t="s">
        <v>193</v>
      </c>
      <c r="E269" s="18">
        <v>60</v>
      </c>
      <c r="F269" s="18">
        <f>0+10</f>
        <v>10</v>
      </c>
      <c r="G269" s="18">
        <v>8</v>
      </c>
      <c r="H269" s="18">
        <f>8+6+5</f>
        <v>19</v>
      </c>
      <c r="I269" s="18">
        <v>3</v>
      </c>
      <c r="J269" s="18">
        <v>0</v>
      </c>
      <c r="K269" s="19">
        <f t="shared" ref="K269:K274" si="38">E269-F269-G269-H269-I269-J269</f>
        <v>20</v>
      </c>
      <c r="L269" s="19">
        <f>0+2+1</f>
        <v>3</v>
      </c>
      <c r="M269" s="19">
        <f t="shared" ref="M269:M274" si="39">K269-L269</f>
        <v>17</v>
      </c>
      <c r="N269" s="59">
        <f t="shared" si="37"/>
        <v>0.15</v>
      </c>
      <c r="O269" s="60" t="s">
        <v>496</v>
      </c>
    </row>
    <row r="270" spans="1:15" s="3" customFormat="1" ht="30" customHeight="1" x14ac:dyDescent="0.45">
      <c r="A270" s="3" t="s">
        <v>483</v>
      </c>
      <c r="B270" s="47">
        <v>4</v>
      </c>
      <c r="C270" s="7" t="s">
        <v>190</v>
      </c>
      <c r="D270" s="8" t="s">
        <v>191</v>
      </c>
      <c r="E270" s="18">
        <v>60</v>
      </c>
      <c r="F270" s="18">
        <f>0+10</f>
        <v>10</v>
      </c>
      <c r="G270" s="18">
        <v>8</v>
      </c>
      <c r="H270" s="18">
        <f>8+4+6+5</f>
        <v>23</v>
      </c>
      <c r="I270" s="18">
        <v>3</v>
      </c>
      <c r="J270" s="18">
        <v>0</v>
      </c>
      <c r="K270" s="19">
        <f t="shared" si="38"/>
        <v>16</v>
      </c>
      <c r="L270" s="19">
        <f>0+2+1</f>
        <v>3</v>
      </c>
      <c r="M270" s="19">
        <f t="shared" si="39"/>
        <v>13</v>
      </c>
      <c r="N270" s="59">
        <f t="shared" si="37"/>
        <v>0.1875</v>
      </c>
      <c r="O270" s="60" t="s">
        <v>496</v>
      </c>
    </row>
    <row r="271" spans="1:15" s="3" customFormat="1" ht="30" customHeight="1" x14ac:dyDescent="0.45">
      <c r="A271" s="3" t="s">
        <v>483</v>
      </c>
      <c r="B271" s="47">
        <v>5</v>
      </c>
      <c r="C271" s="7" t="s">
        <v>170</v>
      </c>
      <c r="D271" s="8" t="s">
        <v>171</v>
      </c>
      <c r="E271" s="18">
        <v>60</v>
      </c>
      <c r="F271" s="18">
        <f>0+6</f>
        <v>6</v>
      </c>
      <c r="G271" s="18">
        <v>10</v>
      </c>
      <c r="H271" s="18">
        <f>10+10</f>
        <v>20</v>
      </c>
      <c r="I271" s="18">
        <v>1</v>
      </c>
      <c r="J271" s="18">
        <v>0</v>
      </c>
      <c r="K271" s="19">
        <f t="shared" si="38"/>
        <v>23</v>
      </c>
      <c r="L271" s="19">
        <f>2+2+1+2</f>
        <v>7</v>
      </c>
      <c r="M271" s="19">
        <f t="shared" si="39"/>
        <v>16</v>
      </c>
      <c r="N271" s="20">
        <f t="shared" si="37"/>
        <v>0.30434782608695654</v>
      </c>
      <c r="O271" s="22" t="s">
        <v>497</v>
      </c>
    </row>
    <row r="272" spans="1:15" s="3" customFormat="1" ht="30" customHeight="1" x14ac:dyDescent="0.45">
      <c r="A272" s="3" t="s">
        <v>483</v>
      </c>
      <c r="B272" s="47">
        <v>6</v>
      </c>
      <c r="C272" s="7" t="s">
        <v>186</v>
      </c>
      <c r="D272" s="8" t="s">
        <v>185</v>
      </c>
      <c r="E272" s="18">
        <f>60+6</f>
        <v>66</v>
      </c>
      <c r="F272" s="18">
        <f>0+4</f>
        <v>4</v>
      </c>
      <c r="G272" s="18">
        <v>32</v>
      </c>
      <c r="H272" s="18">
        <f>10+4</f>
        <v>14</v>
      </c>
      <c r="I272" s="18">
        <v>3</v>
      </c>
      <c r="J272" s="18">
        <v>0</v>
      </c>
      <c r="K272" s="19">
        <f t="shared" si="38"/>
        <v>13</v>
      </c>
      <c r="L272" s="19">
        <f>0+12</f>
        <v>12</v>
      </c>
      <c r="M272" s="19">
        <f t="shared" si="39"/>
        <v>1</v>
      </c>
      <c r="N272" s="25">
        <f t="shared" si="37"/>
        <v>0.92307692307692313</v>
      </c>
      <c r="O272" s="26" t="s">
        <v>495</v>
      </c>
    </row>
    <row r="273" spans="1:15" s="3" customFormat="1" ht="30" customHeight="1" x14ac:dyDescent="0.45">
      <c r="A273" s="3" t="s">
        <v>483</v>
      </c>
      <c r="B273" s="47">
        <v>7</v>
      </c>
      <c r="C273" s="7" t="s">
        <v>187</v>
      </c>
      <c r="D273" s="8" t="s">
        <v>188</v>
      </c>
      <c r="E273" s="18">
        <v>60</v>
      </c>
      <c r="F273" s="18">
        <v>0</v>
      </c>
      <c r="G273" s="18">
        <v>38</v>
      </c>
      <c r="H273" s="18">
        <v>15</v>
      </c>
      <c r="I273" s="18">
        <v>2</v>
      </c>
      <c r="J273" s="18">
        <v>0</v>
      </c>
      <c r="K273" s="19">
        <f t="shared" si="38"/>
        <v>5</v>
      </c>
      <c r="L273" s="19">
        <f>0+2+2+1</f>
        <v>5</v>
      </c>
      <c r="M273" s="19">
        <f t="shared" si="39"/>
        <v>0</v>
      </c>
      <c r="N273" s="27">
        <f t="shared" si="37"/>
        <v>1</v>
      </c>
      <c r="O273" s="28" t="s">
        <v>499</v>
      </c>
    </row>
    <row r="274" spans="1:15" s="3" customFormat="1" ht="30" customHeight="1" x14ac:dyDescent="0.45">
      <c r="A274" s="3" t="s">
        <v>483</v>
      </c>
      <c r="B274" s="47">
        <v>8</v>
      </c>
      <c r="C274" s="7" t="s">
        <v>189</v>
      </c>
      <c r="D274" s="8" t="s">
        <v>485</v>
      </c>
      <c r="E274" s="18">
        <v>60</v>
      </c>
      <c r="F274" s="18">
        <v>0</v>
      </c>
      <c r="G274" s="18">
        <f>10+6+4</f>
        <v>20</v>
      </c>
      <c r="H274" s="18">
        <f>10+6+15+4</f>
        <v>35</v>
      </c>
      <c r="I274" s="18">
        <v>2</v>
      </c>
      <c r="J274" s="18">
        <v>0</v>
      </c>
      <c r="K274" s="19">
        <f t="shared" si="38"/>
        <v>3</v>
      </c>
      <c r="L274" s="19">
        <f>0+2+1</f>
        <v>3</v>
      </c>
      <c r="M274" s="19">
        <f t="shared" si="39"/>
        <v>0</v>
      </c>
      <c r="N274" s="27">
        <f t="shared" si="37"/>
        <v>1</v>
      </c>
      <c r="O274" s="28" t="s">
        <v>499</v>
      </c>
    </row>
    <row r="275" spans="1:15" ht="29.25" customHeight="1" x14ac:dyDescent="0.5">
      <c r="A275" t="s">
        <v>840</v>
      </c>
      <c r="B275" s="30">
        <v>1</v>
      </c>
      <c r="C275" s="12" t="s">
        <v>605</v>
      </c>
      <c r="D275" s="13" t="s">
        <v>606</v>
      </c>
      <c r="E275" s="18">
        <f>5+16</f>
        <v>21</v>
      </c>
      <c r="F275" s="18">
        <f>0+8</f>
        <v>8</v>
      </c>
      <c r="G275" s="18">
        <v>0</v>
      </c>
      <c r="H275" s="18">
        <f>0+5</f>
        <v>5</v>
      </c>
      <c r="I275" s="18">
        <v>0</v>
      </c>
      <c r="J275" s="18">
        <v>0</v>
      </c>
      <c r="K275" s="18">
        <f t="shared" ref="K275:K287" si="40">E275-F275-G275-H275-I275-J275</f>
        <v>8</v>
      </c>
      <c r="L275" s="18">
        <v>1</v>
      </c>
      <c r="M275" s="18">
        <f t="shared" ref="M275:M287" si="41">K275-L275</f>
        <v>7</v>
      </c>
      <c r="N275" s="53">
        <f t="shared" ref="N275:N287" si="42">L275/K275</f>
        <v>0.125</v>
      </c>
      <c r="O275" s="54" t="s">
        <v>496</v>
      </c>
    </row>
    <row r="276" spans="1:15" ht="29.25" customHeight="1" x14ac:dyDescent="0.5">
      <c r="A276" t="s">
        <v>840</v>
      </c>
      <c r="B276" s="30">
        <v>2</v>
      </c>
      <c r="C276" s="12" t="s">
        <v>595</v>
      </c>
      <c r="D276" s="13" t="s">
        <v>596</v>
      </c>
      <c r="E276" s="18">
        <f>8+55</f>
        <v>63</v>
      </c>
      <c r="F276" s="18">
        <f>0+10+15</f>
        <v>25</v>
      </c>
      <c r="G276" s="18">
        <v>0</v>
      </c>
      <c r="H276" s="18">
        <f>0+5</f>
        <v>5</v>
      </c>
      <c r="I276" s="18">
        <v>0</v>
      </c>
      <c r="J276" s="18">
        <v>0</v>
      </c>
      <c r="K276" s="18">
        <f t="shared" si="40"/>
        <v>33</v>
      </c>
      <c r="L276" s="18">
        <f>0+2+1+2</f>
        <v>5</v>
      </c>
      <c r="M276" s="18">
        <f t="shared" si="41"/>
        <v>28</v>
      </c>
      <c r="N276" s="53">
        <f t="shared" si="42"/>
        <v>0.15151515151515152</v>
      </c>
      <c r="O276" s="54" t="s">
        <v>496</v>
      </c>
    </row>
    <row r="277" spans="1:15" ht="29.25" customHeight="1" x14ac:dyDescent="0.5">
      <c r="A277" t="s">
        <v>840</v>
      </c>
      <c r="B277" s="30">
        <v>3</v>
      </c>
      <c r="C277" s="12" t="s">
        <v>607</v>
      </c>
      <c r="D277" s="13" t="s">
        <v>608</v>
      </c>
      <c r="E277" s="18">
        <f>5+16</f>
        <v>21</v>
      </c>
      <c r="F277" s="18">
        <f>0+5+5</f>
        <v>10</v>
      </c>
      <c r="G277" s="18">
        <v>0</v>
      </c>
      <c r="H277" s="18">
        <f>0+5</f>
        <v>5</v>
      </c>
      <c r="I277" s="18">
        <v>0</v>
      </c>
      <c r="J277" s="18">
        <v>0</v>
      </c>
      <c r="K277" s="18">
        <f t="shared" si="40"/>
        <v>6</v>
      </c>
      <c r="L277" s="18">
        <v>1</v>
      </c>
      <c r="M277" s="18">
        <f t="shared" si="41"/>
        <v>5</v>
      </c>
      <c r="N277" s="53">
        <f t="shared" si="42"/>
        <v>0.16666666666666666</v>
      </c>
      <c r="O277" s="54" t="s">
        <v>496</v>
      </c>
    </row>
    <row r="278" spans="1:15" ht="29.25" customHeight="1" x14ac:dyDescent="0.5">
      <c r="A278" t="s">
        <v>840</v>
      </c>
      <c r="B278" s="30">
        <v>4</v>
      </c>
      <c r="C278" s="12" t="s">
        <v>609</v>
      </c>
      <c r="D278" s="13" t="s">
        <v>610</v>
      </c>
      <c r="E278" s="18">
        <f>5+11</f>
        <v>16</v>
      </c>
      <c r="F278" s="18">
        <f>0+5</f>
        <v>5</v>
      </c>
      <c r="G278" s="18">
        <v>0</v>
      </c>
      <c r="H278" s="18">
        <v>5</v>
      </c>
      <c r="I278" s="18">
        <v>0</v>
      </c>
      <c r="J278" s="18">
        <v>0</v>
      </c>
      <c r="K278" s="18">
        <f t="shared" si="40"/>
        <v>6</v>
      </c>
      <c r="L278" s="18">
        <v>1</v>
      </c>
      <c r="M278" s="18">
        <f t="shared" si="41"/>
        <v>5</v>
      </c>
      <c r="N278" s="53">
        <f t="shared" si="42"/>
        <v>0.16666666666666666</v>
      </c>
      <c r="O278" s="54" t="s">
        <v>496</v>
      </c>
    </row>
    <row r="279" spans="1:15" ht="29.25" customHeight="1" x14ac:dyDescent="0.5">
      <c r="A279" t="s">
        <v>840</v>
      </c>
      <c r="B279" s="30">
        <v>5</v>
      </c>
      <c r="C279" s="12" t="s">
        <v>591</v>
      </c>
      <c r="D279" s="13" t="s">
        <v>592</v>
      </c>
      <c r="E279" s="18">
        <f>6+32</f>
        <v>38</v>
      </c>
      <c r="F279" s="18">
        <f>0+8</f>
        <v>8</v>
      </c>
      <c r="G279" s="18">
        <v>5</v>
      </c>
      <c r="H279" s="18">
        <v>10</v>
      </c>
      <c r="I279" s="18">
        <v>0</v>
      </c>
      <c r="J279" s="18">
        <v>0</v>
      </c>
      <c r="K279" s="18">
        <f t="shared" si="40"/>
        <v>15</v>
      </c>
      <c r="L279" s="18">
        <v>5</v>
      </c>
      <c r="M279" s="18">
        <f t="shared" si="41"/>
        <v>10</v>
      </c>
      <c r="N279" s="32">
        <f t="shared" si="42"/>
        <v>0.33333333333333331</v>
      </c>
      <c r="O279" s="21" t="s">
        <v>497</v>
      </c>
    </row>
    <row r="280" spans="1:15" ht="29.25" customHeight="1" x14ac:dyDescent="0.5">
      <c r="A280" t="s">
        <v>840</v>
      </c>
      <c r="B280" s="30">
        <v>6</v>
      </c>
      <c r="C280" s="12" t="s">
        <v>593</v>
      </c>
      <c r="D280" s="13" t="s">
        <v>594</v>
      </c>
      <c r="E280" s="18">
        <f>5+20</f>
        <v>25</v>
      </c>
      <c r="F280" s="18">
        <f>0+5+6</f>
        <v>11</v>
      </c>
      <c r="G280" s="18">
        <v>0</v>
      </c>
      <c r="H280" s="18">
        <f>0+5</f>
        <v>5</v>
      </c>
      <c r="I280" s="18">
        <v>0</v>
      </c>
      <c r="J280" s="18">
        <v>0</v>
      </c>
      <c r="K280" s="18">
        <f t="shared" si="40"/>
        <v>9</v>
      </c>
      <c r="L280" s="18">
        <v>3</v>
      </c>
      <c r="M280" s="18">
        <f t="shared" si="41"/>
        <v>6</v>
      </c>
      <c r="N280" s="32">
        <f t="shared" si="42"/>
        <v>0.33333333333333331</v>
      </c>
      <c r="O280" s="21" t="s">
        <v>497</v>
      </c>
    </row>
    <row r="281" spans="1:15" ht="29.25" customHeight="1" x14ac:dyDescent="0.5">
      <c r="A281" t="s">
        <v>840</v>
      </c>
      <c r="B281" s="30">
        <v>7</v>
      </c>
      <c r="C281" s="12" t="s">
        <v>653</v>
      </c>
      <c r="D281" s="13" t="s">
        <v>654</v>
      </c>
      <c r="E281" s="18">
        <f>12+16</f>
        <v>28</v>
      </c>
      <c r="F281" s="18">
        <f>0+6</f>
        <v>6</v>
      </c>
      <c r="G281" s="18">
        <v>5</v>
      </c>
      <c r="H281" s="18">
        <f>0+6+5</f>
        <v>11</v>
      </c>
      <c r="I281" s="18">
        <v>0</v>
      </c>
      <c r="J281" s="18">
        <v>0</v>
      </c>
      <c r="K281" s="18">
        <f t="shared" si="40"/>
        <v>6</v>
      </c>
      <c r="L281" s="18">
        <v>2</v>
      </c>
      <c r="M281" s="18">
        <f t="shared" si="41"/>
        <v>4</v>
      </c>
      <c r="N281" s="32">
        <f t="shared" si="42"/>
        <v>0.33333333333333331</v>
      </c>
      <c r="O281" s="21" t="s">
        <v>497</v>
      </c>
    </row>
    <row r="282" spans="1:15" ht="29.25" customHeight="1" x14ac:dyDescent="0.5">
      <c r="A282" t="s">
        <v>840</v>
      </c>
      <c r="B282" s="30">
        <v>8</v>
      </c>
      <c r="C282" s="12" t="s">
        <v>589</v>
      </c>
      <c r="D282" s="13" t="s">
        <v>590</v>
      </c>
      <c r="E282" s="18">
        <f>5+21</f>
        <v>26</v>
      </c>
      <c r="F282" s="18">
        <f>0+6+5</f>
        <v>11</v>
      </c>
      <c r="G282" s="18">
        <v>0</v>
      </c>
      <c r="H282" s="18">
        <f>0+5</f>
        <v>5</v>
      </c>
      <c r="I282" s="18">
        <v>0</v>
      </c>
      <c r="J282" s="18">
        <v>0</v>
      </c>
      <c r="K282" s="18">
        <f t="shared" si="40"/>
        <v>10</v>
      </c>
      <c r="L282" s="18">
        <v>4</v>
      </c>
      <c r="M282" s="18">
        <f t="shared" si="41"/>
        <v>6</v>
      </c>
      <c r="N282" s="32">
        <f t="shared" si="42"/>
        <v>0.4</v>
      </c>
      <c r="O282" s="21" t="s">
        <v>497</v>
      </c>
    </row>
    <row r="283" spans="1:15" ht="29.25" customHeight="1" x14ac:dyDescent="0.5">
      <c r="A283" t="s">
        <v>840</v>
      </c>
      <c r="B283" s="30">
        <v>9</v>
      </c>
      <c r="C283" s="12" t="s">
        <v>611</v>
      </c>
      <c r="D283" s="13" t="s">
        <v>612</v>
      </c>
      <c r="E283" s="18">
        <f>5+18</f>
        <v>23</v>
      </c>
      <c r="F283" s="18">
        <f>0+5</f>
        <v>5</v>
      </c>
      <c r="G283" s="18">
        <v>0</v>
      </c>
      <c r="H283" s="18">
        <f>0+5</f>
        <v>5</v>
      </c>
      <c r="I283" s="18">
        <v>0</v>
      </c>
      <c r="J283" s="18">
        <v>0</v>
      </c>
      <c r="K283" s="18">
        <f t="shared" si="40"/>
        <v>13</v>
      </c>
      <c r="L283" s="18">
        <f>0+3+2+1</f>
        <v>6</v>
      </c>
      <c r="M283" s="18">
        <f t="shared" si="41"/>
        <v>7</v>
      </c>
      <c r="N283" s="32">
        <f t="shared" si="42"/>
        <v>0.46153846153846156</v>
      </c>
      <c r="O283" s="21" t="s">
        <v>497</v>
      </c>
    </row>
    <row r="284" spans="1:15" ht="29.25" customHeight="1" x14ac:dyDescent="0.5">
      <c r="A284" t="s">
        <v>840</v>
      </c>
      <c r="B284" s="30">
        <v>10</v>
      </c>
      <c r="C284" s="12" t="s">
        <v>597</v>
      </c>
      <c r="D284" s="13" t="s">
        <v>598</v>
      </c>
      <c r="E284" s="18">
        <f>5+14</f>
        <v>19</v>
      </c>
      <c r="F284" s="18">
        <f>0+5+4</f>
        <v>9</v>
      </c>
      <c r="G284" s="18">
        <v>0</v>
      </c>
      <c r="H284" s="18">
        <f>0+5</f>
        <v>5</v>
      </c>
      <c r="I284" s="18">
        <v>0</v>
      </c>
      <c r="J284" s="18">
        <v>0</v>
      </c>
      <c r="K284" s="18">
        <f t="shared" si="40"/>
        <v>5</v>
      </c>
      <c r="L284" s="18">
        <v>3</v>
      </c>
      <c r="M284" s="18">
        <f t="shared" si="41"/>
        <v>2</v>
      </c>
      <c r="N284" s="33">
        <f t="shared" si="42"/>
        <v>0.6</v>
      </c>
      <c r="O284" s="34" t="s">
        <v>498</v>
      </c>
    </row>
    <row r="285" spans="1:15" ht="29.25" customHeight="1" x14ac:dyDescent="0.5">
      <c r="A285" t="s">
        <v>840</v>
      </c>
      <c r="B285" s="30">
        <v>11</v>
      </c>
      <c r="C285" s="12" t="s">
        <v>599</v>
      </c>
      <c r="D285" s="13" t="s">
        <v>600</v>
      </c>
      <c r="E285" s="18">
        <f>5+5+16</f>
        <v>26</v>
      </c>
      <c r="F285" s="18">
        <f>0+5+5</f>
        <v>10</v>
      </c>
      <c r="G285" s="18">
        <v>0</v>
      </c>
      <c r="H285" s="18">
        <f>0+5</f>
        <v>5</v>
      </c>
      <c r="I285" s="18">
        <v>0</v>
      </c>
      <c r="J285" s="18">
        <v>0</v>
      </c>
      <c r="K285" s="18">
        <f t="shared" si="40"/>
        <v>11</v>
      </c>
      <c r="L285" s="18">
        <v>7</v>
      </c>
      <c r="M285" s="18">
        <f t="shared" si="41"/>
        <v>4</v>
      </c>
      <c r="N285" s="33">
        <f t="shared" si="42"/>
        <v>0.63636363636363635</v>
      </c>
      <c r="O285" s="34" t="s">
        <v>498</v>
      </c>
    </row>
    <row r="286" spans="1:15" ht="29.25" customHeight="1" x14ac:dyDescent="0.5">
      <c r="A286" t="s">
        <v>840</v>
      </c>
      <c r="B286" s="30">
        <v>12</v>
      </c>
      <c r="C286" s="12" t="s">
        <v>601</v>
      </c>
      <c r="D286" s="13" t="s">
        <v>602</v>
      </c>
      <c r="E286" s="18">
        <f>5+5</f>
        <v>10</v>
      </c>
      <c r="F286" s="18">
        <f>0+4</f>
        <v>4</v>
      </c>
      <c r="G286" s="18">
        <v>0</v>
      </c>
      <c r="H286" s="18">
        <f>0+5</f>
        <v>5</v>
      </c>
      <c r="I286" s="18">
        <v>0</v>
      </c>
      <c r="J286" s="18">
        <v>0</v>
      </c>
      <c r="K286" s="18">
        <f t="shared" si="40"/>
        <v>1</v>
      </c>
      <c r="L286" s="18">
        <v>1</v>
      </c>
      <c r="M286" s="18">
        <f t="shared" si="41"/>
        <v>0</v>
      </c>
      <c r="N286" s="56">
        <f t="shared" si="42"/>
        <v>1</v>
      </c>
      <c r="O286" s="57" t="s">
        <v>499</v>
      </c>
    </row>
    <row r="287" spans="1:15" ht="29.25" customHeight="1" x14ac:dyDescent="0.5">
      <c r="A287" t="s">
        <v>840</v>
      </c>
      <c r="B287" s="30">
        <v>13</v>
      </c>
      <c r="C287" s="12" t="s">
        <v>603</v>
      </c>
      <c r="D287" s="13" t="s">
        <v>604</v>
      </c>
      <c r="E287" s="18">
        <f>5+5+1</f>
        <v>11</v>
      </c>
      <c r="F287" s="18">
        <f>0+3</f>
        <v>3</v>
      </c>
      <c r="G287" s="18">
        <v>0</v>
      </c>
      <c r="H287" s="18">
        <v>0</v>
      </c>
      <c r="I287" s="18">
        <v>0</v>
      </c>
      <c r="J287" s="18">
        <v>0</v>
      </c>
      <c r="K287" s="18">
        <f t="shared" si="40"/>
        <v>8</v>
      </c>
      <c r="L287" s="18">
        <f>5+2+1</f>
        <v>8</v>
      </c>
      <c r="M287" s="18">
        <f t="shared" si="41"/>
        <v>0</v>
      </c>
      <c r="N287" s="27">
        <f t="shared" si="42"/>
        <v>1</v>
      </c>
      <c r="O287" s="57" t="s">
        <v>499</v>
      </c>
    </row>
    <row r="288" spans="1:15" s="3" customFormat="1" ht="29.25" customHeight="1" x14ac:dyDescent="0.5">
      <c r="A288" s="3" t="s">
        <v>623</v>
      </c>
      <c r="B288" s="49">
        <v>1</v>
      </c>
      <c r="C288" s="10" t="s">
        <v>621</v>
      </c>
      <c r="D288" s="11" t="s">
        <v>622</v>
      </c>
      <c r="E288" s="18">
        <f>10+134</f>
        <v>144</v>
      </c>
      <c r="F288" s="18">
        <f>0+10+20</f>
        <v>30</v>
      </c>
      <c r="G288" s="18">
        <v>0</v>
      </c>
      <c r="H288" s="18">
        <v>15</v>
      </c>
      <c r="I288" s="18">
        <v>0</v>
      </c>
      <c r="J288" s="18">
        <v>0</v>
      </c>
      <c r="K288" s="18">
        <f>E288-F288-G288-H288-I288-J288</f>
        <v>99</v>
      </c>
      <c r="L288" s="18">
        <f>0+2</f>
        <v>2</v>
      </c>
      <c r="M288" s="18">
        <f>K288-L288</f>
        <v>97</v>
      </c>
      <c r="N288" s="53">
        <f>L288/K288</f>
        <v>2.0202020202020204E-2</v>
      </c>
      <c r="O288" s="54" t="s">
        <v>496</v>
      </c>
    </row>
    <row r="289" spans="1:15" s="3" customFormat="1" ht="29.25" customHeight="1" x14ac:dyDescent="0.5">
      <c r="A289" s="3" t="s">
        <v>623</v>
      </c>
      <c r="B289" s="49">
        <v>2</v>
      </c>
      <c r="C289" s="10" t="s">
        <v>617</v>
      </c>
      <c r="D289" s="11" t="s">
        <v>618</v>
      </c>
      <c r="E289" s="18">
        <f>10+141</f>
        <v>151</v>
      </c>
      <c r="F289" s="18">
        <f>0+20+20</f>
        <v>40</v>
      </c>
      <c r="G289" s="18">
        <v>0</v>
      </c>
      <c r="H289" s="18">
        <v>15</v>
      </c>
      <c r="I289" s="18">
        <v>0</v>
      </c>
      <c r="J289" s="18">
        <v>0</v>
      </c>
      <c r="K289" s="18">
        <f>E289-F289-G289-H289-I289-J289</f>
        <v>96</v>
      </c>
      <c r="L289" s="18">
        <v>4</v>
      </c>
      <c r="M289" s="18">
        <f>K289-L289</f>
        <v>92</v>
      </c>
      <c r="N289" s="53">
        <f>L289/K289</f>
        <v>4.1666666666666664E-2</v>
      </c>
      <c r="O289" s="54" t="s">
        <v>496</v>
      </c>
    </row>
    <row r="290" spans="1:15" s="3" customFormat="1" ht="29.25" customHeight="1" x14ac:dyDescent="0.5">
      <c r="A290" s="3" t="s">
        <v>623</v>
      </c>
      <c r="B290" s="49">
        <v>3</v>
      </c>
      <c r="C290" s="10" t="s">
        <v>615</v>
      </c>
      <c r="D290" s="11" t="s">
        <v>616</v>
      </c>
      <c r="E290" s="18">
        <f>10+81</f>
        <v>91</v>
      </c>
      <c r="F290" s="18">
        <v>38</v>
      </c>
      <c r="G290" s="18">
        <f>0+15</f>
        <v>15</v>
      </c>
      <c r="H290" s="18">
        <f>0+5+10</f>
        <v>15</v>
      </c>
      <c r="I290" s="18">
        <v>0</v>
      </c>
      <c r="J290" s="18">
        <v>0</v>
      </c>
      <c r="K290" s="18">
        <f>E290-F290-G290-H290-I290-J290</f>
        <v>23</v>
      </c>
      <c r="L290" s="18">
        <f>0+2+2+2+2</f>
        <v>8</v>
      </c>
      <c r="M290" s="18">
        <f>K290-L290</f>
        <v>15</v>
      </c>
      <c r="N290" s="32">
        <f>L290/K290</f>
        <v>0.34782608695652173</v>
      </c>
      <c r="O290" s="21" t="s">
        <v>497</v>
      </c>
    </row>
    <row r="291" spans="1:15" s="3" customFormat="1" ht="27.75" customHeight="1" x14ac:dyDescent="0.5">
      <c r="A291" s="3" t="s">
        <v>623</v>
      </c>
      <c r="B291" s="49">
        <v>4</v>
      </c>
      <c r="C291" s="10" t="s">
        <v>619</v>
      </c>
      <c r="D291" s="11" t="s">
        <v>620</v>
      </c>
      <c r="E291" s="18">
        <f>10+28</f>
        <v>38</v>
      </c>
      <c r="F291" s="18">
        <f>0+10+8</f>
        <v>18</v>
      </c>
      <c r="G291" s="18">
        <v>0</v>
      </c>
      <c r="H291" s="18">
        <v>0</v>
      </c>
      <c r="I291" s="18">
        <v>0</v>
      </c>
      <c r="J291" s="18">
        <v>0</v>
      </c>
      <c r="K291" s="18">
        <f>E291-F291-G291-H291-I291-J291</f>
        <v>20</v>
      </c>
      <c r="L291" s="18">
        <v>6</v>
      </c>
      <c r="M291" s="18">
        <f>K291-L291</f>
        <v>14</v>
      </c>
      <c r="N291" s="32">
        <f>L291/K291</f>
        <v>0.3</v>
      </c>
      <c r="O291" s="21" t="s">
        <v>497</v>
      </c>
    </row>
    <row r="292" spans="1:15" s="3" customFormat="1" ht="29.25" customHeight="1" x14ac:dyDescent="0.5">
      <c r="A292" s="3" t="s">
        <v>623</v>
      </c>
      <c r="B292" s="49">
        <v>5</v>
      </c>
      <c r="C292" s="10" t="s">
        <v>613</v>
      </c>
      <c r="D292" s="11" t="s">
        <v>614</v>
      </c>
      <c r="E292" s="18">
        <f>10+70</f>
        <v>80</v>
      </c>
      <c r="F292" s="18">
        <f>0+10+15</f>
        <v>25</v>
      </c>
      <c r="G292" s="18">
        <f>0+25+20</f>
        <v>45</v>
      </c>
      <c r="H292" s="18">
        <f>0+5</f>
        <v>5</v>
      </c>
      <c r="I292" s="18">
        <v>0</v>
      </c>
      <c r="J292" s="18">
        <v>0</v>
      </c>
      <c r="K292" s="18">
        <f>E292-F292-G292-H292-I292-J292</f>
        <v>5</v>
      </c>
      <c r="L292" s="18">
        <v>5</v>
      </c>
      <c r="M292" s="18">
        <f>K292-L292</f>
        <v>0</v>
      </c>
      <c r="N292" s="56">
        <f>L292/K292</f>
        <v>1</v>
      </c>
      <c r="O292" s="57" t="s">
        <v>499</v>
      </c>
    </row>
    <row r="293" spans="1:15" ht="29.4" customHeight="1" x14ac:dyDescent="0.5">
      <c r="A293" t="s">
        <v>627</v>
      </c>
      <c r="B293" s="49">
        <v>1</v>
      </c>
      <c r="C293" s="10" t="s">
        <v>624</v>
      </c>
      <c r="D293" s="7" t="s">
        <v>625</v>
      </c>
      <c r="E293" s="30">
        <f>20+27</f>
        <v>47</v>
      </c>
      <c r="F293" s="30">
        <f>10+10</f>
        <v>20</v>
      </c>
      <c r="G293" s="30">
        <v>0</v>
      </c>
      <c r="H293" s="30">
        <f>0+10</f>
        <v>10</v>
      </c>
      <c r="I293" s="30">
        <v>0</v>
      </c>
      <c r="J293" s="30">
        <v>0</v>
      </c>
      <c r="K293" s="30">
        <f>E293-F293-G293-H293-I293-J293</f>
        <v>17</v>
      </c>
      <c r="L293" s="30">
        <v>3</v>
      </c>
      <c r="M293" s="30">
        <f>K293-L293</f>
        <v>14</v>
      </c>
      <c r="N293" s="53">
        <f>L293/K293</f>
        <v>0.17647058823529413</v>
      </c>
      <c r="O293" s="54" t="s">
        <v>496</v>
      </c>
    </row>
    <row r="294" spans="1:15" ht="29.25" customHeight="1" x14ac:dyDescent="0.5">
      <c r="A294" t="s">
        <v>627</v>
      </c>
      <c r="B294" s="49">
        <v>2</v>
      </c>
      <c r="C294" s="10" t="s">
        <v>724</v>
      </c>
      <c r="D294" s="7" t="s">
        <v>626</v>
      </c>
      <c r="E294" s="30">
        <f>20+30</f>
        <v>50</v>
      </c>
      <c r="F294" s="30">
        <f>6+10</f>
        <v>16</v>
      </c>
      <c r="G294" s="30">
        <v>10</v>
      </c>
      <c r="H294" s="30">
        <f>0+10</f>
        <v>10</v>
      </c>
      <c r="I294" s="30">
        <v>0</v>
      </c>
      <c r="J294" s="30">
        <v>0</v>
      </c>
      <c r="K294" s="30">
        <f>E294-F294-G294-H294-I294-J294</f>
        <v>14</v>
      </c>
      <c r="L294" s="30">
        <v>6</v>
      </c>
      <c r="M294" s="30">
        <f>K294-L294</f>
        <v>8</v>
      </c>
      <c r="N294" s="32">
        <f>L294/K294</f>
        <v>0.42857142857142855</v>
      </c>
      <c r="O294" s="21" t="s">
        <v>497</v>
      </c>
    </row>
    <row r="295" spans="1:15" s="3" customFormat="1" ht="29.25" customHeight="1" x14ac:dyDescent="0.45">
      <c r="A295" s="3" t="s">
        <v>194</v>
      </c>
      <c r="B295" s="47">
        <v>1</v>
      </c>
      <c r="C295" s="7" t="s">
        <v>212</v>
      </c>
      <c r="D295" s="8" t="s">
        <v>31</v>
      </c>
      <c r="E295" s="18">
        <v>100</v>
      </c>
      <c r="F295" s="18">
        <v>40</v>
      </c>
      <c r="G295" s="18">
        <v>10</v>
      </c>
      <c r="H295" s="18">
        <v>10</v>
      </c>
      <c r="I295" s="18">
        <v>2</v>
      </c>
      <c r="J295" s="18">
        <v>0</v>
      </c>
      <c r="K295" s="19">
        <f t="shared" ref="K295:K339" si="43">E295-F295-G295-H295-I295-J295</f>
        <v>38</v>
      </c>
      <c r="L295" s="19">
        <f>1+1+1</f>
        <v>3</v>
      </c>
      <c r="M295" s="19">
        <f t="shared" ref="M295:M339" si="44">K295-L295</f>
        <v>35</v>
      </c>
      <c r="N295" s="59">
        <f t="shared" ref="N295:N339" si="45">L295/K295</f>
        <v>7.8947368421052627E-2</v>
      </c>
      <c r="O295" s="60" t="s">
        <v>496</v>
      </c>
    </row>
    <row r="296" spans="1:15" s="3" customFormat="1" ht="29.25" customHeight="1" x14ac:dyDescent="0.45">
      <c r="A296" s="3" t="s">
        <v>194</v>
      </c>
      <c r="B296" s="47">
        <v>2</v>
      </c>
      <c r="C296" s="7" t="s">
        <v>255</v>
      </c>
      <c r="D296" s="8" t="s">
        <v>83</v>
      </c>
      <c r="E296" s="18">
        <v>100</v>
      </c>
      <c r="F296" s="18">
        <v>40</v>
      </c>
      <c r="G296" s="18">
        <v>10</v>
      </c>
      <c r="H296" s="18">
        <v>20</v>
      </c>
      <c r="I296" s="18">
        <v>2</v>
      </c>
      <c r="J296" s="18">
        <v>0</v>
      </c>
      <c r="K296" s="19">
        <f t="shared" si="43"/>
        <v>28</v>
      </c>
      <c r="L296" s="19">
        <f>1+1+1</f>
        <v>3</v>
      </c>
      <c r="M296" s="19">
        <f t="shared" si="44"/>
        <v>25</v>
      </c>
      <c r="N296" s="59">
        <f t="shared" si="45"/>
        <v>0.10714285714285714</v>
      </c>
      <c r="O296" s="60" t="s">
        <v>496</v>
      </c>
    </row>
    <row r="297" spans="1:15" s="3" customFormat="1" ht="29.25" customHeight="1" x14ac:dyDescent="0.45">
      <c r="A297" s="3" t="s">
        <v>194</v>
      </c>
      <c r="B297" s="47">
        <v>3</v>
      </c>
      <c r="C297" s="7" t="s">
        <v>208</v>
      </c>
      <c r="D297" s="8" t="s">
        <v>27</v>
      </c>
      <c r="E297" s="18">
        <v>99</v>
      </c>
      <c r="F297" s="18">
        <v>40</v>
      </c>
      <c r="G297" s="18">
        <v>10</v>
      </c>
      <c r="H297" s="18">
        <v>20</v>
      </c>
      <c r="I297" s="18">
        <v>2</v>
      </c>
      <c r="J297" s="18">
        <v>0</v>
      </c>
      <c r="K297" s="19">
        <f t="shared" si="43"/>
        <v>27</v>
      </c>
      <c r="L297" s="19">
        <f>1+1+1</f>
        <v>3</v>
      </c>
      <c r="M297" s="19">
        <f t="shared" si="44"/>
        <v>24</v>
      </c>
      <c r="N297" s="59">
        <f t="shared" si="45"/>
        <v>0.1111111111111111</v>
      </c>
      <c r="O297" s="60" t="s">
        <v>496</v>
      </c>
    </row>
    <row r="298" spans="1:15" s="3" customFormat="1" ht="29.25" customHeight="1" x14ac:dyDescent="0.45">
      <c r="A298" s="3" t="s">
        <v>194</v>
      </c>
      <c r="B298" s="47">
        <v>4</v>
      </c>
      <c r="C298" s="7" t="s">
        <v>221</v>
      </c>
      <c r="D298" s="8" t="s">
        <v>222</v>
      </c>
      <c r="E298" s="18">
        <v>150</v>
      </c>
      <c r="F298" s="18">
        <v>40</v>
      </c>
      <c r="G298" s="18">
        <v>10</v>
      </c>
      <c r="H298" s="18">
        <v>30</v>
      </c>
      <c r="I298" s="18">
        <v>2</v>
      </c>
      <c r="J298" s="18">
        <v>0</v>
      </c>
      <c r="K298" s="19">
        <f t="shared" si="43"/>
        <v>68</v>
      </c>
      <c r="L298" s="19">
        <v>14</v>
      </c>
      <c r="M298" s="19">
        <f t="shared" si="44"/>
        <v>54</v>
      </c>
      <c r="N298" s="59">
        <f t="shared" si="45"/>
        <v>0.20588235294117646</v>
      </c>
      <c r="O298" s="60" t="s">
        <v>496</v>
      </c>
    </row>
    <row r="299" spans="1:15" s="3" customFormat="1" ht="29.25" customHeight="1" x14ac:dyDescent="0.45">
      <c r="A299" s="3" t="s">
        <v>194</v>
      </c>
      <c r="B299" s="47">
        <v>5</v>
      </c>
      <c r="C299" s="7" t="s">
        <v>217</v>
      </c>
      <c r="D299" s="8" t="s">
        <v>37</v>
      </c>
      <c r="E299" s="18">
        <v>100</v>
      </c>
      <c r="F299" s="18">
        <v>40</v>
      </c>
      <c r="G299" s="18">
        <v>10</v>
      </c>
      <c r="H299" s="18">
        <v>29</v>
      </c>
      <c r="I299" s="18">
        <v>2</v>
      </c>
      <c r="J299" s="18">
        <v>0</v>
      </c>
      <c r="K299" s="19">
        <f t="shared" si="43"/>
        <v>19</v>
      </c>
      <c r="L299" s="19">
        <v>3</v>
      </c>
      <c r="M299" s="19">
        <f t="shared" si="44"/>
        <v>16</v>
      </c>
      <c r="N299" s="59">
        <f t="shared" si="45"/>
        <v>0.15789473684210525</v>
      </c>
      <c r="O299" s="60" t="s">
        <v>496</v>
      </c>
    </row>
    <row r="300" spans="1:15" s="3" customFormat="1" ht="29.25" customHeight="1" x14ac:dyDescent="0.45">
      <c r="A300" s="3" t="s">
        <v>194</v>
      </c>
      <c r="B300" s="47">
        <v>6</v>
      </c>
      <c r="C300" s="7" t="s">
        <v>248</v>
      </c>
      <c r="D300" s="8" t="s">
        <v>249</v>
      </c>
      <c r="E300" s="18">
        <v>99</v>
      </c>
      <c r="F300" s="18">
        <v>40</v>
      </c>
      <c r="G300" s="18">
        <v>11</v>
      </c>
      <c r="H300" s="18">
        <v>10</v>
      </c>
      <c r="I300" s="18">
        <v>2</v>
      </c>
      <c r="J300" s="18">
        <v>0</v>
      </c>
      <c r="K300" s="19">
        <f t="shared" si="43"/>
        <v>36</v>
      </c>
      <c r="L300" s="19">
        <v>7</v>
      </c>
      <c r="M300" s="19">
        <f t="shared" si="44"/>
        <v>29</v>
      </c>
      <c r="N300" s="59">
        <f t="shared" si="45"/>
        <v>0.19444444444444445</v>
      </c>
      <c r="O300" s="60" t="s">
        <v>496</v>
      </c>
    </row>
    <row r="301" spans="1:15" s="3" customFormat="1" ht="29.25" customHeight="1" x14ac:dyDescent="0.45">
      <c r="A301" s="3" t="s">
        <v>194</v>
      </c>
      <c r="B301" s="47">
        <v>7</v>
      </c>
      <c r="C301" s="7" t="s">
        <v>195</v>
      </c>
      <c r="D301" s="8" t="s">
        <v>196</v>
      </c>
      <c r="E301" s="18">
        <v>99</v>
      </c>
      <c r="F301" s="18">
        <v>40</v>
      </c>
      <c r="G301" s="18">
        <v>10</v>
      </c>
      <c r="H301" s="18">
        <v>20</v>
      </c>
      <c r="I301" s="18">
        <v>2</v>
      </c>
      <c r="J301" s="18">
        <v>0</v>
      </c>
      <c r="K301" s="19">
        <f t="shared" si="43"/>
        <v>27</v>
      </c>
      <c r="L301" s="19">
        <v>6</v>
      </c>
      <c r="M301" s="19">
        <f t="shared" si="44"/>
        <v>21</v>
      </c>
      <c r="N301" s="59">
        <f t="shared" si="45"/>
        <v>0.22222222222222221</v>
      </c>
      <c r="O301" s="60" t="s">
        <v>496</v>
      </c>
    </row>
    <row r="302" spans="1:15" s="3" customFormat="1" ht="29.25" customHeight="1" x14ac:dyDescent="0.45">
      <c r="A302" s="3" t="s">
        <v>194</v>
      </c>
      <c r="B302" s="47">
        <v>8</v>
      </c>
      <c r="C302" s="7" t="s">
        <v>233</v>
      </c>
      <c r="D302" s="8" t="s">
        <v>56</v>
      </c>
      <c r="E302" s="18">
        <v>99</v>
      </c>
      <c r="F302" s="18">
        <v>40</v>
      </c>
      <c r="G302" s="18">
        <v>10</v>
      </c>
      <c r="H302" s="18">
        <v>20</v>
      </c>
      <c r="I302" s="18">
        <v>2</v>
      </c>
      <c r="J302" s="18">
        <v>0</v>
      </c>
      <c r="K302" s="19">
        <f t="shared" si="43"/>
        <v>27</v>
      </c>
      <c r="L302" s="19">
        <v>6</v>
      </c>
      <c r="M302" s="19">
        <f t="shared" si="44"/>
        <v>21</v>
      </c>
      <c r="N302" s="59">
        <f t="shared" si="45"/>
        <v>0.22222222222222221</v>
      </c>
      <c r="O302" s="60" t="s">
        <v>496</v>
      </c>
    </row>
    <row r="303" spans="1:15" s="3" customFormat="1" ht="29.25" customHeight="1" x14ac:dyDescent="0.45">
      <c r="A303" s="3" t="s">
        <v>194</v>
      </c>
      <c r="B303" s="47">
        <v>9</v>
      </c>
      <c r="C303" s="7" t="s">
        <v>223</v>
      </c>
      <c r="D303" s="8" t="s">
        <v>48</v>
      </c>
      <c r="E303" s="18">
        <v>99</v>
      </c>
      <c r="F303" s="18">
        <v>40</v>
      </c>
      <c r="G303" s="18">
        <v>10</v>
      </c>
      <c r="H303" s="18">
        <v>20</v>
      </c>
      <c r="I303" s="18">
        <v>2</v>
      </c>
      <c r="J303" s="18">
        <v>0</v>
      </c>
      <c r="K303" s="19">
        <f t="shared" si="43"/>
        <v>27</v>
      </c>
      <c r="L303" s="19">
        <v>6</v>
      </c>
      <c r="M303" s="19">
        <f t="shared" si="44"/>
        <v>21</v>
      </c>
      <c r="N303" s="59">
        <f t="shared" si="45"/>
        <v>0.22222222222222221</v>
      </c>
      <c r="O303" s="60" t="s">
        <v>496</v>
      </c>
    </row>
    <row r="304" spans="1:15" s="3" customFormat="1" ht="32.25" customHeight="1" x14ac:dyDescent="0.45">
      <c r="A304" s="3" t="s">
        <v>194</v>
      </c>
      <c r="B304" s="47">
        <v>10</v>
      </c>
      <c r="C304" s="7" t="s">
        <v>241</v>
      </c>
      <c r="D304" s="8" t="s">
        <v>71</v>
      </c>
      <c r="E304" s="18">
        <v>99</v>
      </c>
      <c r="F304" s="18">
        <v>40</v>
      </c>
      <c r="G304" s="18">
        <v>10</v>
      </c>
      <c r="H304" s="18">
        <v>20</v>
      </c>
      <c r="I304" s="18">
        <v>2</v>
      </c>
      <c r="J304" s="18">
        <v>0</v>
      </c>
      <c r="K304" s="19">
        <f t="shared" si="43"/>
        <v>27</v>
      </c>
      <c r="L304" s="19">
        <f>1+1+1+2+1</f>
        <v>6</v>
      </c>
      <c r="M304" s="19">
        <f t="shared" si="44"/>
        <v>21</v>
      </c>
      <c r="N304" s="59">
        <f t="shared" si="45"/>
        <v>0.22222222222222221</v>
      </c>
      <c r="O304" s="60" t="s">
        <v>496</v>
      </c>
    </row>
    <row r="305" spans="1:15" s="3" customFormat="1" ht="29.25" customHeight="1" x14ac:dyDescent="0.45">
      <c r="A305" s="3" t="s">
        <v>194</v>
      </c>
      <c r="B305" s="47">
        <v>11</v>
      </c>
      <c r="C305" s="7" t="s">
        <v>245</v>
      </c>
      <c r="D305" s="8" t="s">
        <v>76</v>
      </c>
      <c r="E305" s="18">
        <v>99</v>
      </c>
      <c r="F305" s="18">
        <v>40</v>
      </c>
      <c r="G305" s="18">
        <v>10</v>
      </c>
      <c r="H305" s="18">
        <v>20</v>
      </c>
      <c r="I305" s="18">
        <v>2</v>
      </c>
      <c r="J305" s="18">
        <v>0</v>
      </c>
      <c r="K305" s="19">
        <f t="shared" si="43"/>
        <v>27</v>
      </c>
      <c r="L305" s="19">
        <v>8</v>
      </c>
      <c r="M305" s="19">
        <f t="shared" si="44"/>
        <v>19</v>
      </c>
      <c r="N305" s="20">
        <f t="shared" si="45"/>
        <v>0.29629629629629628</v>
      </c>
      <c r="O305" s="22" t="s">
        <v>497</v>
      </c>
    </row>
    <row r="306" spans="1:15" s="3" customFormat="1" ht="29.25" customHeight="1" x14ac:dyDescent="0.45">
      <c r="A306" s="3" t="s">
        <v>194</v>
      </c>
      <c r="B306" s="47">
        <v>12</v>
      </c>
      <c r="C306" s="7" t="s">
        <v>238</v>
      </c>
      <c r="D306" s="8" t="s">
        <v>67</v>
      </c>
      <c r="E306" s="18">
        <v>99</v>
      </c>
      <c r="F306" s="18">
        <v>40</v>
      </c>
      <c r="G306" s="18">
        <v>10</v>
      </c>
      <c r="H306" s="18">
        <v>20</v>
      </c>
      <c r="I306" s="18">
        <v>2</v>
      </c>
      <c r="J306" s="18">
        <v>0</v>
      </c>
      <c r="K306" s="19">
        <f t="shared" si="43"/>
        <v>27</v>
      </c>
      <c r="L306" s="19">
        <f>5+1+1+1</f>
        <v>8</v>
      </c>
      <c r="M306" s="19">
        <f t="shared" si="44"/>
        <v>19</v>
      </c>
      <c r="N306" s="20">
        <f t="shared" si="45"/>
        <v>0.29629629629629628</v>
      </c>
      <c r="O306" s="22" t="s">
        <v>497</v>
      </c>
    </row>
    <row r="307" spans="1:15" s="3" customFormat="1" ht="29.25" customHeight="1" x14ac:dyDescent="0.45">
      <c r="A307" s="3" t="s">
        <v>194</v>
      </c>
      <c r="B307" s="47">
        <v>13</v>
      </c>
      <c r="C307" s="7" t="s">
        <v>224</v>
      </c>
      <c r="D307" s="8" t="s">
        <v>50</v>
      </c>
      <c r="E307" s="18">
        <v>99</v>
      </c>
      <c r="F307" s="18">
        <v>40</v>
      </c>
      <c r="G307" s="18">
        <v>10</v>
      </c>
      <c r="H307" s="18">
        <v>10</v>
      </c>
      <c r="I307" s="18">
        <v>2</v>
      </c>
      <c r="J307" s="18">
        <v>0</v>
      </c>
      <c r="K307" s="19">
        <f t="shared" si="43"/>
        <v>37</v>
      </c>
      <c r="L307" s="19">
        <v>11</v>
      </c>
      <c r="M307" s="19">
        <f t="shared" si="44"/>
        <v>26</v>
      </c>
      <c r="N307" s="20">
        <f t="shared" si="45"/>
        <v>0.29729729729729731</v>
      </c>
      <c r="O307" s="22" t="s">
        <v>497</v>
      </c>
    </row>
    <row r="308" spans="1:15" s="3" customFormat="1" ht="29.25" customHeight="1" x14ac:dyDescent="0.45">
      <c r="A308" s="3" t="s">
        <v>194</v>
      </c>
      <c r="B308" s="47">
        <v>14</v>
      </c>
      <c r="C308" s="7" t="s">
        <v>209</v>
      </c>
      <c r="D308" s="8" t="s">
        <v>29</v>
      </c>
      <c r="E308" s="18">
        <v>98</v>
      </c>
      <c r="F308" s="18">
        <v>40</v>
      </c>
      <c r="G308" s="18">
        <v>10</v>
      </c>
      <c r="H308" s="18">
        <v>20</v>
      </c>
      <c r="I308" s="18">
        <v>2</v>
      </c>
      <c r="J308" s="18">
        <v>0</v>
      </c>
      <c r="K308" s="19">
        <f t="shared" si="43"/>
        <v>26</v>
      </c>
      <c r="L308" s="19">
        <v>8</v>
      </c>
      <c r="M308" s="19">
        <f t="shared" si="44"/>
        <v>18</v>
      </c>
      <c r="N308" s="20">
        <f t="shared" si="45"/>
        <v>0.30769230769230771</v>
      </c>
      <c r="O308" s="22" t="s">
        <v>497</v>
      </c>
    </row>
    <row r="309" spans="1:15" s="3" customFormat="1" ht="29.25" customHeight="1" x14ac:dyDescent="0.45">
      <c r="A309" s="3" t="s">
        <v>194</v>
      </c>
      <c r="B309" s="47">
        <v>15</v>
      </c>
      <c r="C309" s="7" t="s">
        <v>207</v>
      </c>
      <c r="D309" s="8" t="s">
        <v>23</v>
      </c>
      <c r="E309" s="18">
        <v>100</v>
      </c>
      <c r="F309" s="18">
        <v>40</v>
      </c>
      <c r="G309" s="18">
        <v>10</v>
      </c>
      <c r="H309" s="18">
        <v>20</v>
      </c>
      <c r="I309" s="18">
        <v>2</v>
      </c>
      <c r="J309" s="18">
        <v>0</v>
      </c>
      <c r="K309" s="19">
        <f t="shared" si="43"/>
        <v>28</v>
      </c>
      <c r="L309" s="19">
        <v>9</v>
      </c>
      <c r="M309" s="19">
        <f t="shared" si="44"/>
        <v>19</v>
      </c>
      <c r="N309" s="20">
        <f t="shared" si="45"/>
        <v>0.32142857142857145</v>
      </c>
      <c r="O309" s="22" t="s">
        <v>497</v>
      </c>
    </row>
    <row r="310" spans="1:15" s="3" customFormat="1" ht="29.25" customHeight="1" x14ac:dyDescent="0.45">
      <c r="A310" s="3" t="s">
        <v>194</v>
      </c>
      <c r="B310" s="47">
        <v>16</v>
      </c>
      <c r="C310" s="7" t="s">
        <v>250</v>
      </c>
      <c r="D310" s="8" t="s">
        <v>78</v>
      </c>
      <c r="E310" s="18">
        <v>100</v>
      </c>
      <c r="F310" s="18">
        <v>40</v>
      </c>
      <c r="G310" s="18">
        <v>10</v>
      </c>
      <c r="H310" s="18">
        <v>21</v>
      </c>
      <c r="I310" s="18">
        <v>2</v>
      </c>
      <c r="J310" s="18">
        <v>0</v>
      </c>
      <c r="K310" s="19">
        <f t="shared" si="43"/>
        <v>27</v>
      </c>
      <c r="L310" s="19">
        <v>10</v>
      </c>
      <c r="M310" s="19">
        <f t="shared" si="44"/>
        <v>17</v>
      </c>
      <c r="N310" s="20">
        <f t="shared" si="45"/>
        <v>0.37037037037037035</v>
      </c>
      <c r="O310" s="22" t="s">
        <v>497</v>
      </c>
    </row>
    <row r="311" spans="1:15" s="3" customFormat="1" ht="29.25" customHeight="1" x14ac:dyDescent="0.45">
      <c r="A311" s="3" t="s">
        <v>194</v>
      </c>
      <c r="B311" s="47">
        <v>17</v>
      </c>
      <c r="C311" s="7" t="s">
        <v>235</v>
      </c>
      <c r="D311" s="8" t="s">
        <v>58</v>
      </c>
      <c r="E311" s="18">
        <v>100</v>
      </c>
      <c r="F311" s="18">
        <v>41</v>
      </c>
      <c r="G311" s="18">
        <v>10</v>
      </c>
      <c r="H311" s="18">
        <v>20</v>
      </c>
      <c r="I311" s="18">
        <v>2</v>
      </c>
      <c r="J311" s="18">
        <v>0</v>
      </c>
      <c r="K311" s="19">
        <f t="shared" si="43"/>
        <v>27</v>
      </c>
      <c r="L311" s="19">
        <v>12</v>
      </c>
      <c r="M311" s="19">
        <f t="shared" si="44"/>
        <v>15</v>
      </c>
      <c r="N311" s="20">
        <f t="shared" si="45"/>
        <v>0.44444444444444442</v>
      </c>
      <c r="O311" s="22" t="s">
        <v>497</v>
      </c>
    </row>
    <row r="312" spans="1:15" s="3" customFormat="1" ht="29.25" customHeight="1" x14ac:dyDescent="0.45">
      <c r="A312" s="3" t="s">
        <v>194</v>
      </c>
      <c r="B312" s="47">
        <v>18</v>
      </c>
      <c r="C312" s="7" t="s">
        <v>253</v>
      </c>
      <c r="D312" s="8" t="s">
        <v>254</v>
      </c>
      <c r="E312" s="18">
        <v>100</v>
      </c>
      <c r="F312" s="18">
        <v>41</v>
      </c>
      <c r="G312" s="18">
        <v>10</v>
      </c>
      <c r="H312" s="18">
        <v>20</v>
      </c>
      <c r="I312" s="18">
        <v>2</v>
      </c>
      <c r="J312" s="18">
        <v>0</v>
      </c>
      <c r="K312" s="19">
        <f t="shared" si="43"/>
        <v>27</v>
      </c>
      <c r="L312" s="19">
        <v>13</v>
      </c>
      <c r="M312" s="19">
        <f t="shared" si="44"/>
        <v>14</v>
      </c>
      <c r="N312" s="20">
        <f t="shared" si="45"/>
        <v>0.48148148148148145</v>
      </c>
      <c r="O312" s="22" t="s">
        <v>497</v>
      </c>
    </row>
    <row r="313" spans="1:15" s="3" customFormat="1" ht="29.25" customHeight="1" x14ac:dyDescent="0.45">
      <c r="A313" s="3" t="s">
        <v>194</v>
      </c>
      <c r="B313" s="47">
        <v>19</v>
      </c>
      <c r="C313" s="7" t="s">
        <v>215</v>
      </c>
      <c r="D313" s="8" t="s">
        <v>216</v>
      </c>
      <c r="E313" s="18">
        <v>100</v>
      </c>
      <c r="F313" s="18">
        <v>41</v>
      </c>
      <c r="G313" s="18">
        <v>5</v>
      </c>
      <c r="H313" s="18">
        <v>30</v>
      </c>
      <c r="I313" s="18">
        <v>2</v>
      </c>
      <c r="J313" s="18">
        <v>0</v>
      </c>
      <c r="K313" s="19">
        <f t="shared" si="43"/>
        <v>22</v>
      </c>
      <c r="L313" s="19">
        <v>13</v>
      </c>
      <c r="M313" s="19">
        <f t="shared" si="44"/>
        <v>9</v>
      </c>
      <c r="N313" s="23">
        <f t="shared" si="45"/>
        <v>0.59090909090909094</v>
      </c>
      <c r="O313" s="24" t="s">
        <v>498</v>
      </c>
    </row>
    <row r="314" spans="1:15" s="3" customFormat="1" ht="29.25" customHeight="1" x14ac:dyDescent="0.45">
      <c r="A314" s="3" t="s">
        <v>194</v>
      </c>
      <c r="B314" s="47">
        <v>20</v>
      </c>
      <c r="C314" s="7" t="s">
        <v>231</v>
      </c>
      <c r="D314" s="8" t="s">
        <v>232</v>
      </c>
      <c r="E314" s="18">
        <v>102</v>
      </c>
      <c r="F314" s="18">
        <v>40</v>
      </c>
      <c r="G314" s="18">
        <v>10</v>
      </c>
      <c r="H314" s="18">
        <v>36</v>
      </c>
      <c r="I314" s="18">
        <v>2</v>
      </c>
      <c r="J314" s="18">
        <v>0</v>
      </c>
      <c r="K314" s="19">
        <f t="shared" si="43"/>
        <v>14</v>
      </c>
      <c r="L314" s="19">
        <v>9</v>
      </c>
      <c r="M314" s="19">
        <f t="shared" si="44"/>
        <v>5</v>
      </c>
      <c r="N314" s="23">
        <f t="shared" si="45"/>
        <v>0.6428571428571429</v>
      </c>
      <c r="O314" s="24" t="s">
        <v>498</v>
      </c>
    </row>
    <row r="315" spans="1:15" s="3" customFormat="1" ht="29.25" customHeight="1" x14ac:dyDescent="0.45">
      <c r="A315" s="3" t="s">
        <v>194</v>
      </c>
      <c r="B315" s="47">
        <v>21</v>
      </c>
      <c r="C315" s="7" t="s">
        <v>210</v>
      </c>
      <c r="D315" s="8" t="s">
        <v>211</v>
      </c>
      <c r="E315" s="18">
        <v>100</v>
      </c>
      <c r="F315" s="18">
        <v>40</v>
      </c>
      <c r="G315" s="18">
        <v>10</v>
      </c>
      <c r="H315" s="18">
        <f>10+10</f>
        <v>20</v>
      </c>
      <c r="I315" s="18">
        <v>2</v>
      </c>
      <c r="J315" s="18">
        <v>0</v>
      </c>
      <c r="K315" s="19">
        <f t="shared" si="43"/>
        <v>28</v>
      </c>
      <c r="L315" s="19">
        <f>5+1+1+1+2+1+1+1+2+1</f>
        <v>16</v>
      </c>
      <c r="M315" s="19">
        <f t="shared" si="44"/>
        <v>12</v>
      </c>
      <c r="N315" s="23">
        <f t="shared" si="45"/>
        <v>0.5714285714285714</v>
      </c>
      <c r="O315" s="24" t="s">
        <v>498</v>
      </c>
    </row>
    <row r="316" spans="1:15" s="3" customFormat="1" ht="29.25" customHeight="1" x14ac:dyDescent="0.45">
      <c r="A316" s="3" t="s">
        <v>194</v>
      </c>
      <c r="B316" s="47">
        <v>22</v>
      </c>
      <c r="C316" s="7" t="s">
        <v>220</v>
      </c>
      <c r="D316" s="8" t="s">
        <v>41</v>
      </c>
      <c r="E316" s="18">
        <v>101</v>
      </c>
      <c r="F316" s="18">
        <v>40</v>
      </c>
      <c r="G316" s="18">
        <v>10</v>
      </c>
      <c r="H316" s="18">
        <v>20</v>
      </c>
      <c r="I316" s="18">
        <v>2</v>
      </c>
      <c r="J316" s="18">
        <v>0</v>
      </c>
      <c r="K316" s="19">
        <f t="shared" si="43"/>
        <v>29</v>
      </c>
      <c r="L316" s="19">
        <v>18</v>
      </c>
      <c r="M316" s="19">
        <f t="shared" si="44"/>
        <v>11</v>
      </c>
      <c r="N316" s="23">
        <f t="shared" si="45"/>
        <v>0.62068965517241381</v>
      </c>
      <c r="O316" s="24" t="s">
        <v>498</v>
      </c>
    </row>
    <row r="317" spans="1:15" s="3" customFormat="1" ht="29.25" customHeight="1" x14ac:dyDescent="0.45">
      <c r="A317" s="3" t="s">
        <v>194</v>
      </c>
      <c r="B317" s="47">
        <v>23</v>
      </c>
      <c r="C317" s="7" t="s">
        <v>239</v>
      </c>
      <c r="D317" s="8" t="s">
        <v>240</v>
      </c>
      <c r="E317" s="18">
        <v>101</v>
      </c>
      <c r="F317" s="18">
        <v>40</v>
      </c>
      <c r="G317" s="18">
        <v>10</v>
      </c>
      <c r="H317" s="18">
        <v>20</v>
      </c>
      <c r="I317" s="18">
        <v>2</v>
      </c>
      <c r="J317" s="18">
        <v>0</v>
      </c>
      <c r="K317" s="19">
        <f t="shared" si="43"/>
        <v>29</v>
      </c>
      <c r="L317" s="19">
        <f>10+1+1+4+1</f>
        <v>17</v>
      </c>
      <c r="M317" s="19">
        <f t="shared" si="44"/>
        <v>12</v>
      </c>
      <c r="N317" s="23">
        <f t="shared" si="45"/>
        <v>0.58620689655172409</v>
      </c>
      <c r="O317" s="24" t="s">
        <v>498</v>
      </c>
    </row>
    <row r="318" spans="1:15" s="3" customFormat="1" ht="29.25" customHeight="1" x14ac:dyDescent="0.45">
      <c r="A318" s="3" t="s">
        <v>194</v>
      </c>
      <c r="B318" s="47">
        <v>24</v>
      </c>
      <c r="C318" s="7" t="s">
        <v>246</v>
      </c>
      <c r="D318" s="8" t="s">
        <v>247</v>
      </c>
      <c r="E318" s="18">
        <v>99</v>
      </c>
      <c r="F318" s="18">
        <v>40</v>
      </c>
      <c r="G318" s="18">
        <v>10</v>
      </c>
      <c r="H318" s="18">
        <v>20</v>
      </c>
      <c r="I318" s="18">
        <v>2</v>
      </c>
      <c r="J318" s="18">
        <v>0</v>
      </c>
      <c r="K318" s="19">
        <f t="shared" si="43"/>
        <v>27</v>
      </c>
      <c r="L318" s="19">
        <v>16</v>
      </c>
      <c r="M318" s="19">
        <f t="shared" si="44"/>
        <v>11</v>
      </c>
      <c r="N318" s="23">
        <f t="shared" si="45"/>
        <v>0.59259259259259256</v>
      </c>
      <c r="O318" s="24" t="s">
        <v>498</v>
      </c>
    </row>
    <row r="319" spans="1:15" s="3" customFormat="1" ht="29.25" customHeight="1" x14ac:dyDescent="0.45">
      <c r="A319" s="3" t="s">
        <v>194</v>
      </c>
      <c r="B319" s="47">
        <v>25</v>
      </c>
      <c r="C319" s="7" t="s">
        <v>244</v>
      </c>
      <c r="D319" s="8" t="s">
        <v>74</v>
      </c>
      <c r="E319" s="18">
        <v>99</v>
      </c>
      <c r="F319" s="18">
        <v>40</v>
      </c>
      <c r="G319" s="18">
        <v>10</v>
      </c>
      <c r="H319" s="18">
        <v>20</v>
      </c>
      <c r="I319" s="18">
        <v>2</v>
      </c>
      <c r="J319" s="18">
        <v>0</v>
      </c>
      <c r="K319" s="19">
        <f t="shared" si="43"/>
        <v>27</v>
      </c>
      <c r="L319" s="19">
        <v>18</v>
      </c>
      <c r="M319" s="19">
        <f t="shared" si="44"/>
        <v>9</v>
      </c>
      <c r="N319" s="23">
        <f t="shared" si="45"/>
        <v>0.66666666666666663</v>
      </c>
      <c r="O319" s="24" t="s">
        <v>498</v>
      </c>
    </row>
    <row r="320" spans="1:15" s="3" customFormat="1" ht="29.25" customHeight="1" x14ac:dyDescent="0.45">
      <c r="A320" s="3" t="s">
        <v>194</v>
      </c>
      <c r="B320" s="47">
        <v>26</v>
      </c>
      <c r="C320" s="7" t="s">
        <v>234</v>
      </c>
      <c r="D320" s="8" t="s">
        <v>58</v>
      </c>
      <c r="E320" s="18">
        <v>151</v>
      </c>
      <c r="F320" s="18">
        <v>61</v>
      </c>
      <c r="G320" s="18">
        <v>10</v>
      </c>
      <c r="H320" s="18">
        <v>30</v>
      </c>
      <c r="I320" s="18">
        <v>2</v>
      </c>
      <c r="J320" s="18">
        <v>0</v>
      </c>
      <c r="K320" s="19">
        <f t="shared" si="43"/>
        <v>48</v>
      </c>
      <c r="L320" s="19">
        <v>30</v>
      </c>
      <c r="M320" s="19">
        <f t="shared" si="44"/>
        <v>18</v>
      </c>
      <c r="N320" s="23">
        <f t="shared" si="45"/>
        <v>0.625</v>
      </c>
      <c r="O320" s="24" t="s">
        <v>498</v>
      </c>
    </row>
    <row r="321" spans="1:15" s="3" customFormat="1" ht="29.25" customHeight="1" x14ac:dyDescent="0.45">
      <c r="A321" s="3" t="s">
        <v>194</v>
      </c>
      <c r="B321" s="47">
        <v>27</v>
      </c>
      <c r="C321" s="7" t="s">
        <v>236</v>
      </c>
      <c r="D321" s="8" t="s">
        <v>63</v>
      </c>
      <c r="E321" s="18">
        <v>99</v>
      </c>
      <c r="F321" s="18">
        <v>40</v>
      </c>
      <c r="G321" s="18">
        <v>10</v>
      </c>
      <c r="H321" s="18">
        <v>20</v>
      </c>
      <c r="I321" s="18">
        <v>2</v>
      </c>
      <c r="J321" s="18">
        <v>0</v>
      </c>
      <c r="K321" s="19">
        <f t="shared" si="43"/>
        <v>27</v>
      </c>
      <c r="L321" s="19">
        <v>17</v>
      </c>
      <c r="M321" s="19">
        <f t="shared" si="44"/>
        <v>10</v>
      </c>
      <c r="N321" s="23">
        <f t="shared" si="45"/>
        <v>0.62962962962962965</v>
      </c>
      <c r="O321" s="24" t="s">
        <v>498</v>
      </c>
    </row>
    <row r="322" spans="1:15" s="3" customFormat="1" ht="29.25" customHeight="1" x14ac:dyDescent="0.45">
      <c r="A322" s="3" t="s">
        <v>194</v>
      </c>
      <c r="B322" s="47">
        <v>28</v>
      </c>
      <c r="C322" s="7" t="s">
        <v>218</v>
      </c>
      <c r="D322" s="8" t="s">
        <v>39</v>
      </c>
      <c r="E322" s="18">
        <v>100</v>
      </c>
      <c r="F322" s="18">
        <v>40</v>
      </c>
      <c r="G322" s="18">
        <v>10</v>
      </c>
      <c r="H322" s="18">
        <v>21</v>
      </c>
      <c r="I322" s="18">
        <v>2</v>
      </c>
      <c r="J322" s="18">
        <v>0</v>
      </c>
      <c r="K322" s="19">
        <f t="shared" si="43"/>
        <v>27</v>
      </c>
      <c r="L322" s="19">
        <v>17</v>
      </c>
      <c r="M322" s="19">
        <f t="shared" si="44"/>
        <v>10</v>
      </c>
      <c r="N322" s="23">
        <f t="shared" si="45"/>
        <v>0.62962962962962965</v>
      </c>
      <c r="O322" s="24" t="s">
        <v>498</v>
      </c>
    </row>
    <row r="323" spans="1:15" s="3" customFormat="1" ht="31.8" customHeight="1" x14ac:dyDescent="0.45">
      <c r="A323" s="3" t="s">
        <v>194</v>
      </c>
      <c r="B323" s="47">
        <v>29</v>
      </c>
      <c r="C323" s="7" t="s">
        <v>204</v>
      </c>
      <c r="D323" s="8" t="s">
        <v>21</v>
      </c>
      <c r="E323" s="18">
        <v>150</v>
      </c>
      <c r="F323" s="18">
        <v>61</v>
      </c>
      <c r="G323" s="18">
        <v>10</v>
      </c>
      <c r="H323" s="18">
        <v>30</v>
      </c>
      <c r="I323" s="18">
        <v>2</v>
      </c>
      <c r="J323" s="18">
        <v>0</v>
      </c>
      <c r="K323" s="19">
        <f t="shared" si="43"/>
        <v>47</v>
      </c>
      <c r="L323" s="19">
        <v>34</v>
      </c>
      <c r="M323" s="19">
        <f t="shared" si="44"/>
        <v>13</v>
      </c>
      <c r="N323" s="23">
        <f t="shared" si="45"/>
        <v>0.72340425531914898</v>
      </c>
      <c r="O323" s="24" t="s">
        <v>498</v>
      </c>
    </row>
    <row r="324" spans="1:15" s="3" customFormat="1" ht="29.25" customHeight="1" x14ac:dyDescent="0.45">
      <c r="A324" s="3" t="s">
        <v>194</v>
      </c>
      <c r="B324" s="47">
        <v>30</v>
      </c>
      <c r="C324" s="7" t="s">
        <v>251</v>
      </c>
      <c r="D324" s="8" t="s">
        <v>78</v>
      </c>
      <c r="E324" s="18">
        <v>99</v>
      </c>
      <c r="F324" s="18">
        <v>40</v>
      </c>
      <c r="G324" s="18">
        <v>10</v>
      </c>
      <c r="H324" s="18">
        <v>20</v>
      </c>
      <c r="I324" s="18">
        <v>2</v>
      </c>
      <c r="J324" s="18">
        <v>0</v>
      </c>
      <c r="K324" s="19">
        <f t="shared" si="43"/>
        <v>27</v>
      </c>
      <c r="L324" s="19">
        <v>19</v>
      </c>
      <c r="M324" s="19">
        <f t="shared" si="44"/>
        <v>8</v>
      </c>
      <c r="N324" s="23">
        <f t="shared" si="45"/>
        <v>0.70370370370370372</v>
      </c>
      <c r="O324" s="24" t="s">
        <v>498</v>
      </c>
    </row>
    <row r="325" spans="1:15" s="3" customFormat="1" ht="29.25" customHeight="1" x14ac:dyDescent="0.45">
      <c r="A325" s="3" t="s">
        <v>194</v>
      </c>
      <c r="B325" s="47">
        <v>31</v>
      </c>
      <c r="C325" s="7" t="s">
        <v>242</v>
      </c>
      <c r="D325" s="8" t="s">
        <v>243</v>
      </c>
      <c r="E325" s="18">
        <v>100</v>
      </c>
      <c r="F325" s="18">
        <v>41</v>
      </c>
      <c r="G325" s="18">
        <v>10</v>
      </c>
      <c r="H325" s="18">
        <v>20</v>
      </c>
      <c r="I325" s="18">
        <v>2</v>
      </c>
      <c r="J325" s="18">
        <v>0</v>
      </c>
      <c r="K325" s="19">
        <f t="shared" si="43"/>
        <v>27</v>
      </c>
      <c r="L325" s="19">
        <v>20</v>
      </c>
      <c r="M325" s="19">
        <f t="shared" si="44"/>
        <v>7</v>
      </c>
      <c r="N325" s="23">
        <f t="shared" si="45"/>
        <v>0.7407407407407407</v>
      </c>
      <c r="O325" s="24" t="s">
        <v>498</v>
      </c>
    </row>
    <row r="326" spans="1:15" s="3" customFormat="1" ht="29.25" customHeight="1" x14ac:dyDescent="0.45">
      <c r="A326" s="3" t="s">
        <v>194</v>
      </c>
      <c r="B326" s="47">
        <v>32</v>
      </c>
      <c r="C326" s="7" t="s">
        <v>202</v>
      </c>
      <c r="D326" s="8" t="s">
        <v>203</v>
      </c>
      <c r="E326" s="18">
        <v>101</v>
      </c>
      <c r="F326" s="18">
        <v>41</v>
      </c>
      <c r="G326" s="18">
        <v>10</v>
      </c>
      <c r="H326" s="18">
        <v>20</v>
      </c>
      <c r="I326" s="18">
        <v>2</v>
      </c>
      <c r="J326" s="18">
        <v>0</v>
      </c>
      <c r="K326" s="19">
        <f t="shared" si="43"/>
        <v>28</v>
      </c>
      <c r="L326" s="19">
        <v>22</v>
      </c>
      <c r="M326" s="19">
        <f t="shared" si="44"/>
        <v>6</v>
      </c>
      <c r="N326" s="25">
        <f t="shared" si="45"/>
        <v>0.7857142857142857</v>
      </c>
      <c r="O326" s="26" t="s">
        <v>495</v>
      </c>
    </row>
    <row r="327" spans="1:15" s="3" customFormat="1" ht="29.25" customHeight="1" x14ac:dyDescent="0.45">
      <c r="A327" s="3" t="s">
        <v>194</v>
      </c>
      <c r="B327" s="47">
        <v>33</v>
      </c>
      <c r="C327" s="7" t="s">
        <v>229</v>
      </c>
      <c r="D327" s="8" t="s">
        <v>230</v>
      </c>
      <c r="E327" s="18">
        <v>149</v>
      </c>
      <c r="F327" s="18">
        <v>60</v>
      </c>
      <c r="G327" s="18">
        <v>10</v>
      </c>
      <c r="H327" s="18">
        <v>30</v>
      </c>
      <c r="I327" s="18">
        <v>2</v>
      </c>
      <c r="J327" s="18">
        <v>0</v>
      </c>
      <c r="K327" s="19">
        <f t="shared" si="43"/>
        <v>47</v>
      </c>
      <c r="L327" s="19">
        <v>40</v>
      </c>
      <c r="M327" s="19">
        <f t="shared" si="44"/>
        <v>7</v>
      </c>
      <c r="N327" s="25">
        <f t="shared" si="45"/>
        <v>0.85106382978723405</v>
      </c>
      <c r="O327" s="26" t="s">
        <v>495</v>
      </c>
    </row>
    <row r="328" spans="1:15" s="3" customFormat="1" ht="29.25" customHeight="1" x14ac:dyDescent="0.45">
      <c r="A328" s="3" t="s">
        <v>194</v>
      </c>
      <c r="B328" s="47">
        <v>34</v>
      </c>
      <c r="C328" s="7" t="s">
        <v>225</v>
      </c>
      <c r="D328" s="8" t="s">
        <v>226</v>
      </c>
      <c r="E328" s="18">
        <v>102</v>
      </c>
      <c r="F328" s="18">
        <v>41</v>
      </c>
      <c r="G328" s="18">
        <v>10</v>
      </c>
      <c r="H328" s="18">
        <v>30</v>
      </c>
      <c r="I328" s="18">
        <v>2</v>
      </c>
      <c r="J328" s="18">
        <v>0</v>
      </c>
      <c r="K328" s="19">
        <f t="shared" si="43"/>
        <v>19</v>
      </c>
      <c r="L328" s="19">
        <v>16</v>
      </c>
      <c r="M328" s="19">
        <f t="shared" si="44"/>
        <v>3</v>
      </c>
      <c r="N328" s="25">
        <f t="shared" si="45"/>
        <v>0.84210526315789469</v>
      </c>
      <c r="O328" s="26" t="s">
        <v>495</v>
      </c>
    </row>
    <row r="329" spans="1:15" s="3" customFormat="1" ht="29.25" customHeight="1" x14ac:dyDescent="0.45">
      <c r="A329" s="3" t="s">
        <v>194</v>
      </c>
      <c r="B329" s="47">
        <v>35</v>
      </c>
      <c r="C329" s="7" t="s">
        <v>199</v>
      </c>
      <c r="D329" s="8" t="s">
        <v>200</v>
      </c>
      <c r="E329" s="18">
        <v>92</v>
      </c>
      <c r="F329" s="18">
        <v>30</v>
      </c>
      <c r="G329" s="18">
        <v>10</v>
      </c>
      <c r="H329" s="18">
        <v>31</v>
      </c>
      <c r="I329" s="18">
        <v>2</v>
      </c>
      <c r="J329" s="18">
        <v>0</v>
      </c>
      <c r="K329" s="19">
        <f t="shared" si="43"/>
        <v>19</v>
      </c>
      <c r="L329" s="19">
        <v>16</v>
      </c>
      <c r="M329" s="19">
        <f t="shared" si="44"/>
        <v>3</v>
      </c>
      <c r="N329" s="25">
        <f t="shared" si="45"/>
        <v>0.84210526315789469</v>
      </c>
      <c r="O329" s="26" t="s">
        <v>495</v>
      </c>
    </row>
    <row r="330" spans="1:15" s="3" customFormat="1" ht="29.25" customHeight="1" x14ac:dyDescent="0.45">
      <c r="A330" s="3" t="s">
        <v>194</v>
      </c>
      <c r="B330" s="47">
        <v>36</v>
      </c>
      <c r="C330" s="7" t="s">
        <v>252</v>
      </c>
      <c r="D330" s="8" t="s">
        <v>80</v>
      </c>
      <c r="E330" s="18">
        <v>101</v>
      </c>
      <c r="F330" s="18">
        <v>40</v>
      </c>
      <c r="G330" s="18">
        <v>10</v>
      </c>
      <c r="H330" s="18">
        <v>30</v>
      </c>
      <c r="I330" s="18">
        <v>2</v>
      </c>
      <c r="J330" s="18">
        <v>0</v>
      </c>
      <c r="K330" s="19">
        <f t="shared" si="43"/>
        <v>19</v>
      </c>
      <c r="L330" s="19">
        <v>16</v>
      </c>
      <c r="M330" s="19">
        <f t="shared" si="44"/>
        <v>3</v>
      </c>
      <c r="N330" s="25">
        <f t="shared" si="45"/>
        <v>0.84210526315789469</v>
      </c>
      <c r="O330" s="26" t="s">
        <v>495</v>
      </c>
    </row>
    <row r="331" spans="1:15" s="3" customFormat="1" ht="29.25" customHeight="1" x14ac:dyDescent="0.45">
      <c r="A331" s="3" t="s">
        <v>194</v>
      </c>
      <c r="B331" s="47">
        <v>37</v>
      </c>
      <c r="C331" s="7" t="s">
        <v>201</v>
      </c>
      <c r="D331" s="8" t="s">
        <v>19</v>
      </c>
      <c r="E331" s="18">
        <v>97</v>
      </c>
      <c r="F331" s="18">
        <v>40</v>
      </c>
      <c r="G331" s="18">
        <v>10</v>
      </c>
      <c r="H331" s="18">
        <f>20+5+5</f>
        <v>30</v>
      </c>
      <c r="I331" s="18">
        <v>2</v>
      </c>
      <c r="J331" s="18">
        <v>0</v>
      </c>
      <c r="K331" s="19">
        <f t="shared" si="43"/>
        <v>15</v>
      </c>
      <c r="L331" s="19">
        <f>7+1+3+2+1</f>
        <v>14</v>
      </c>
      <c r="M331" s="19">
        <f t="shared" si="44"/>
        <v>1</v>
      </c>
      <c r="N331" s="25">
        <f t="shared" si="45"/>
        <v>0.93333333333333335</v>
      </c>
      <c r="O331" s="26" t="s">
        <v>495</v>
      </c>
    </row>
    <row r="332" spans="1:15" s="3" customFormat="1" ht="29.25" customHeight="1" x14ac:dyDescent="0.45">
      <c r="A332" s="3" t="s">
        <v>194</v>
      </c>
      <c r="B332" s="47">
        <v>38</v>
      </c>
      <c r="C332" s="7" t="s">
        <v>257</v>
      </c>
      <c r="D332" s="8" t="s">
        <v>89</v>
      </c>
      <c r="E332" s="18">
        <v>101</v>
      </c>
      <c r="F332" s="18">
        <v>41</v>
      </c>
      <c r="G332" s="18">
        <v>10</v>
      </c>
      <c r="H332" s="18">
        <v>20</v>
      </c>
      <c r="I332" s="18">
        <v>2</v>
      </c>
      <c r="J332" s="18">
        <v>0</v>
      </c>
      <c r="K332" s="19">
        <f t="shared" si="43"/>
        <v>28</v>
      </c>
      <c r="L332" s="19">
        <v>27</v>
      </c>
      <c r="M332" s="19">
        <f t="shared" si="44"/>
        <v>1</v>
      </c>
      <c r="N332" s="25">
        <f t="shared" si="45"/>
        <v>0.9642857142857143</v>
      </c>
      <c r="O332" s="26" t="s">
        <v>495</v>
      </c>
    </row>
    <row r="333" spans="1:15" s="3" customFormat="1" ht="29.25" customHeight="1" x14ac:dyDescent="0.45">
      <c r="A333" s="3" t="s">
        <v>194</v>
      </c>
      <c r="B333" s="47">
        <v>39</v>
      </c>
      <c r="C333" s="7" t="s">
        <v>237</v>
      </c>
      <c r="D333" s="8" t="s">
        <v>65</v>
      </c>
      <c r="E333" s="18">
        <v>102</v>
      </c>
      <c r="F333" s="18">
        <v>41</v>
      </c>
      <c r="G333" s="18">
        <v>10</v>
      </c>
      <c r="H333" s="18">
        <f>20+10</f>
        <v>30</v>
      </c>
      <c r="I333" s="18">
        <v>2</v>
      </c>
      <c r="J333" s="18">
        <v>0</v>
      </c>
      <c r="K333" s="19">
        <f t="shared" si="43"/>
        <v>19</v>
      </c>
      <c r="L333" s="19">
        <v>19</v>
      </c>
      <c r="M333" s="19">
        <f t="shared" si="44"/>
        <v>0</v>
      </c>
      <c r="N333" s="27">
        <f t="shared" si="45"/>
        <v>1</v>
      </c>
      <c r="O333" s="28" t="s">
        <v>499</v>
      </c>
    </row>
    <row r="334" spans="1:15" s="3" customFormat="1" ht="29.25" customHeight="1" x14ac:dyDescent="0.45">
      <c r="A334" s="3" t="s">
        <v>194</v>
      </c>
      <c r="B334" s="47">
        <v>40</v>
      </c>
      <c r="C334" s="7" t="s">
        <v>219</v>
      </c>
      <c r="D334" s="8" t="s">
        <v>41</v>
      </c>
      <c r="E334" s="18">
        <v>100</v>
      </c>
      <c r="F334" s="18">
        <v>41</v>
      </c>
      <c r="G334" s="18">
        <v>10</v>
      </c>
      <c r="H334" s="18">
        <v>20</v>
      </c>
      <c r="I334" s="18">
        <v>2</v>
      </c>
      <c r="J334" s="18">
        <v>0</v>
      </c>
      <c r="K334" s="19">
        <f t="shared" si="43"/>
        <v>27</v>
      </c>
      <c r="L334" s="19">
        <v>27</v>
      </c>
      <c r="M334" s="19">
        <f t="shared" si="44"/>
        <v>0</v>
      </c>
      <c r="N334" s="27">
        <f t="shared" si="45"/>
        <v>1</v>
      </c>
      <c r="O334" s="28" t="s">
        <v>499</v>
      </c>
    </row>
    <row r="335" spans="1:15" s="3" customFormat="1" ht="31.8" customHeight="1" x14ac:dyDescent="0.45">
      <c r="A335" s="3" t="s">
        <v>194</v>
      </c>
      <c r="B335" s="47">
        <v>41</v>
      </c>
      <c r="C335" s="7" t="s">
        <v>256</v>
      </c>
      <c r="D335" s="8" t="s">
        <v>87</v>
      </c>
      <c r="E335" s="18">
        <v>99</v>
      </c>
      <c r="F335" s="18">
        <v>40</v>
      </c>
      <c r="G335" s="18">
        <v>10</v>
      </c>
      <c r="H335" s="18">
        <v>20</v>
      </c>
      <c r="I335" s="18">
        <v>2</v>
      </c>
      <c r="J335" s="18">
        <v>0</v>
      </c>
      <c r="K335" s="19">
        <f t="shared" si="43"/>
        <v>27</v>
      </c>
      <c r="L335" s="19">
        <v>27</v>
      </c>
      <c r="M335" s="19">
        <f t="shared" si="44"/>
        <v>0</v>
      </c>
      <c r="N335" s="27">
        <f t="shared" si="45"/>
        <v>1</v>
      </c>
      <c r="O335" s="28" t="s">
        <v>499</v>
      </c>
    </row>
    <row r="336" spans="1:15" s="3" customFormat="1" ht="29.25" customHeight="1" x14ac:dyDescent="0.45">
      <c r="A336" s="3" t="s">
        <v>194</v>
      </c>
      <c r="B336" s="47">
        <v>42</v>
      </c>
      <c r="C336" s="7" t="s">
        <v>213</v>
      </c>
      <c r="D336" s="8" t="s">
        <v>214</v>
      </c>
      <c r="E336" s="18">
        <v>100</v>
      </c>
      <c r="F336" s="18">
        <v>41</v>
      </c>
      <c r="G336" s="18">
        <v>10</v>
      </c>
      <c r="H336" s="18">
        <v>20</v>
      </c>
      <c r="I336" s="18">
        <v>2</v>
      </c>
      <c r="J336" s="18">
        <v>0</v>
      </c>
      <c r="K336" s="19">
        <f t="shared" si="43"/>
        <v>27</v>
      </c>
      <c r="L336" s="19">
        <f>14+3+2+2+1+1+1+1+1+1</f>
        <v>27</v>
      </c>
      <c r="M336" s="19">
        <f t="shared" si="44"/>
        <v>0</v>
      </c>
      <c r="N336" s="27">
        <f t="shared" si="45"/>
        <v>1</v>
      </c>
      <c r="O336" s="28" t="s">
        <v>499</v>
      </c>
    </row>
    <row r="337" spans="1:15" s="3" customFormat="1" ht="29.25" customHeight="1" x14ac:dyDescent="0.45">
      <c r="A337" s="3" t="s">
        <v>194</v>
      </c>
      <c r="B337" s="47">
        <v>43</v>
      </c>
      <c r="C337" s="7" t="s">
        <v>227</v>
      </c>
      <c r="D337" s="8" t="s">
        <v>228</v>
      </c>
      <c r="E337" s="18">
        <v>100</v>
      </c>
      <c r="F337" s="18">
        <v>41</v>
      </c>
      <c r="G337" s="18">
        <v>10</v>
      </c>
      <c r="H337" s="18">
        <v>20</v>
      </c>
      <c r="I337" s="18">
        <v>2</v>
      </c>
      <c r="J337" s="18">
        <v>0</v>
      </c>
      <c r="K337" s="19">
        <f t="shared" si="43"/>
        <v>27</v>
      </c>
      <c r="L337" s="19">
        <f>13+1+2+1+3+2+2+2+1</f>
        <v>27</v>
      </c>
      <c r="M337" s="19">
        <f t="shared" si="44"/>
        <v>0</v>
      </c>
      <c r="N337" s="27">
        <f t="shared" si="45"/>
        <v>1</v>
      </c>
      <c r="O337" s="28" t="s">
        <v>499</v>
      </c>
    </row>
    <row r="338" spans="1:15" s="3" customFormat="1" ht="29.25" customHeight="1" x14ac:dyDescent="0.45">
      <c r="A338" s="3" t="s">
        <v>194</v>
      </c>
      <c r="B338" s="47">
        <v>44</v>
      </c>
      <c r="C338" s="7" t="s">
        <v>197</v>
      </c>
      <c r="D338" s="8" t="s">
        <v>198</v>
      </c>
      <c r="E338" s="18">
        <v>149</v>
      </c>
      <c r="F338" s="18">
        <f>60+10</f>
        <v>70</v>
      </c>
      <c r="G338" s="18">
        <f>10+5+4</f>
        <v>19</v>
      </c>
      <c r="H338" s="18">
        <v>40</v>
      </c>
      <c r="I338" s="18">
        <v>2</v>
      </c>
      <c r="J338" s="18">
        <v>0</v>
      </c>
      <c r="K338" s="19">
        <f t="shared" si="43"/>
        <v>18</v>
      </c>
      <c r="L338" s="19">
        <f>8+5+2+1+2</f>
        <v>18</v>
      </c>
      <c r="M338" s="19">
        <f t="shared" si="44"/>
        <v>0</v>
      </c>
      <c r="N338" s="27">
        <f t="shared" si="45"/>
        <v>1</v>
      </c>
      <c r="O338" s="28" t="s">
        <v>499</v>
      </c>
    </row>
    <row r="339" spans="1:15" s="3" customFormat="1" ht="29.25" customHeight="1" x14ac:dyDescent="0.45">
      <c r="A339" s="3" t="s">
        <v>194</v>
      </c>
      <c r="B339" s="47">
        <v>45</v>
      </c>
      <c r="C339" s="7" t="s">
        <v>205</v>
      </c>
      <c r="D339" s="8" t="s">
        <v>206</v>
      </c>
      <c r="E339" s="18">
        <v>100</v>
      </c>
      <c r="F339" s="18">
        <v>40</v>
      </c>
      <c r="G339" s="18">
        <v>10</v>
      </c>
      <c r="H339" s="18">
        <v>20</v>
      </c>
      <c r="I339" s="18">
        <v>2</v>
      </c>
      <c r="J339" s="18">
        <v>0</v>
      </c>
      <c r="K339" s="19">
        <f t="shared" si="43"/>
        <v>28</v>
      </c>
      <c r="L339" s="19">
        <f>17+7+4</f>
        <v>28</v>
      </c>
      <c r="M339" s="19">
        <f t="shared" si="44"/>
        <v>0</v>
      </c>
      <c r="N339" s="27">
        <f t="shared" si="45"/>
        <v>1</v>
      </c>
      <c r="O339" s="28" t="s">
        <v>499</v>
      </c>
    </row>
    <row r="340" spans="1:15" s="3" customFormat="1" ht="29.25" customHeight="1" x14ac:dyDescent="0.45">
      <c r="A340" s="3" t="s">
        <v>258</v>
      </c>
      <c r="B340" s="47">
        <v>7</v>
      </c>
      <c r="C340" s="7" t="s">
        <v>486</v>
      </c>
      <c r="D340" s="8" t="s">
        <v>259</v>
      </c>
      <c r="E340" s="18">
        <v>99</v>
      </c>
      <c r="F340" s="18">
        <v>40</v>
      </c>
      <c r="G340" s="18">
        <v>20</v>
      </c>
      <c r="H340" s="18">
        <v>15</v>
      </c>
      <c r="I340" s="18">
        <v>0</v>
      </c>
      <c r="J340" s="18">
        <v>0</v>
      </c>
      <c r="K340" s="19">
        <f t="shared" ref="K340:K353" si="46">E340-F340-G340-H340-I340-J340</f>
        <v>24</v>
      </c>
      <c r="L340" s="19">
        <v>10</v>
      </c>
      <c r="M340" s="19">
        <f t="shared" ref="M340:M353" si="47">K340-L340</f>
        <v>14</v>
      </c>
      <c r="N340" s="20">
        <f t="shared" ref="N340:N353" si="48">L340/K340</f>
        <v>0.41666666666666669</v>
      </c>
      <c r="O340" s="22" t="s">
        <v>497</v>
      </c>
    </row>
    <row r="341" spans="1:15" s="3" customFormat="1" ht="29.25" customHeight="1" x14ac:dyDescent="0.45">
      <c r="A341" s="3" t="s">
        <v>258</v>
      </c>
      <c r="B341" s="47">
        <v>8</v>
      </c>
      <c r="C341" s="7" t="s">
        <v>268</v>
      </c>
      <c r="D341" s="8" t="s">
        <v>269</v>
      </c>
      <c r="E341" s="18">
        <v>99</v>
      </c>
      <c r="F341" s="18">
        <v>41</v>
      </c>
      <c r="G341" s="18">
        <v>10</v>
      </c>
      <c r="H341" s="18">
        <v>30</v>
      </c>
      <c r="I341" s="18">
        <v>2</v>
      </c>
      <c r="J341" s="18">
        <v>0</v>
      </c>
      <c r="K341" s="19">
        <f t="shared" si="46"/>
        <v>16</v>
      </c>
      <c r="L341" s="19">
        <v>7</v>
      </c>
      <c r="M341" s="19">
        <f t="shared" si="47"/>
        <v>9</v>
      </c>
      <c r="N341" s="20">
        <f t="shared" si="48"/>
        <v>0.4375</v>
      </c>
      <c r="O341" s="22" t="s">
        <v>497</v>
      </c>
    </row>
    <row r="342" spans="1:15" s="3" customFormat="1" ht="29.25" customHeight="1" x14ac:dyDescent="0.45">
      <c r="A342" s="3" t="s">
        <v>258</v>
      </c>
      <c r="B342" s="47">
        <v>9</v>
      </c>
      <c r="C342" s="7" t="s">
        <v>279</v>
      </c>
      <c r="D342" s="8" t="s">
        <v>270</v>
      </c>
      <c r="E342" s="18">
        <v>100</v>
      </c>
      <c r="F342" s="18">
        <v>40</v>
      </c>
      <c r="G342" s="18">
        <v>10</v>
      </c>
      <c r="H342" s="18">
        <v>30</v>
      </c>
      <c r="I342" s="18">
        <v>3</v>
      </c>
      <c r="J342" s="18">
        <v>0</v>
      </c>
      <c r="K342" s="19">
        <f t="shared" si="46"/>
        <v>17</v>
      </c>
      <c r="L342" s="19">
        <v>8</v>
      </c>
      <c r="M342" s="19">
        <f t="shared" si="47"/>
        <v>9</v>
      </c>
      <c r="N342" s="20">
        <f t="shared" si="48"/>
        <v>0.47058823529411764</v>
      </c>
      <c r="O342" s="22" t="s">
        <v>497</v>
      </c>
    </row>
    <row r="343" spans="1:15" s="3" customFormat="1" ht="29.25" customHeight="1" x14ac:dyDescent="0.45">
      <c r="A343" s="3" t="s">
        <v>258</v>
      </c>
      <c r="B343" s="47">
        <v>10</v>
      </c>
      <c r="C343" s="7" t="s">
        <v>271</v>
      </c>
      <c r="D343" s="8" t="s">
        <v>272</v>
      </c>
      <c r="E343" s="18">
        <v>100</v>
      </c>
      <c r="F343" s="18">
        <v>41</v>
      </c>
      <c r="G343" s="18">
        <v>10</v>
      </c>
      <c r="H343" s="18">
        <v>30</v>
      </c>
      <c r="I343" s="18">
        <v>2</v>
      </c>
      <c r="J343" s="18">
        <v>0</v>
      </c>
      <c r="K343" s="19">
        <f t="shared" si="46"/>
        <v>17</v>
      </c>
      <c r="L343" s="19">
        <v>9</v>
      </c>
      <c r="M343" s="19">
        <f t="shared" si="47"/>
        <v>8</v>
      </c>
      <c r="N343" s="23">
        <f t="shared" si="48"/>
        <v>0.52941176470588236</v>
      </c>
      <c r="O343" s="24" t="s">
        <v>498</v>
      </c>
    </row>
    <row r="344" spans="1:15" s="3" customFormat="1" ht="29.25" customHeight="1" x14ac:dyDescent="0.45">
      <c r="A344" s="3" t="s">
        <v>258</v>
      </c>
      <c r="B344" s="47">
        <v>11</v>
      </c>
      <c r="C344" s="7" t="s">
        <v>260</v>
      </c>
      <c r="D344" s="8" t="s">
        <v>261</v>
      </c>
      <c r="E344" s="18">
        <v>100</v>
      </c>
      <c r="F344" s="18">
        <v>41</v>
      </c>
      <c r="G344" s="18">
        <v>10</v>
      </c>
      <c r="H344" s="18">
        <v>30</v>
      </c>
      <c r="I344" s="18">
        <v>2</v>
      </c>
      <c r="J344" s="18">
        <v>0</v>
      </c>
      <c r="K344" s="19">
        <f t="shared" si="46"/>
        <v>17</v>
      </c>
      <c r="L344" s="19">
        <v>11</v>
      </c>
      <c r="M344" s="19">
        <f t="shared" si="47"/>
        <v>6</v>
      </c>
      <c r="N344" s="23">
        <f t="shared" si="48"/>
        <v>0.6470588235294118</v>
      </c>
      <c r="O344" s="24" t="s">
        <v>498</v>
      </c>
    </row>
    <row r="345" spans="1:15" s="3" customFormat="1" ht="29.25" customHeight="1" x14ac:dyDescent="0.45">
      <c r="A345" s="3" t="s">
        <v>258</v>
      </c>
      <c r="B345" s="47">
        <v>12</v>
      </c>
      <c r="C345" s="7" t="s">
        <v>280</v>
      </c>
      <c r="D345" s="8" t="s">
        <v>272</v>
      </c>
      <c r="E345" s="18">
        <v>99</v>
      </c>
      <c r="F345" s="18">
        <v>41</v>
      </c>
      <c r="G345" s="18">
        <v>10</v>
      </c>
      <c r="H345" s="18">
        <v>30</v>
      </c>
      <c r="I345" s="18">
        <v>3</v>
      </c>
      <c r="J345" s="18">
        <v>0</v>
      </c>
      <c r="K345" s="19">
        <f t="shared" si="46"/>
        <v>15</v>
      </c>
      <c r="L345" s="19">
        <v>12</v>
      </c>
      <c r="M345" s="19">
        <f t="shared" si="47"/>
        <v>3</v>
      </c>
      <c r="N345" s="25">
        <f t="shared" si="48"/>
        <v>0.8</v>
      </c>
      <c r="O345" s="26" t="s">
        <v>495</v>
      </c>
    </row>
    <row r="346" spans="1:15" s="3" customFormat="1" ht="29.25" customHeight="1" x14ac:dyDescent="0.45">
      <c r="A346" s="3" t="s">
        <v>258</v>
      </c>
      <c r="B346" s="47">
        <v>13</v>
      </c>
      <c r="C346" s="7" t="s">
        <v>275</v>
      </c>
      <c r="D346" s="8" t="s">
        <v>276</v>
      </c>
      <c r="E346" s="18">
        <v>100</v>
      </c>
      <c r="F346" s="18">
        <v>41</v>
      </c>
      <c r="G346" s="18">
        <v>10</v>
      </c>
      <c r="H346" s="18">
        <v>30</v>
      </c>
      <c r="I346" s="18">
        <v>2</v>
      </c>
      <c r="J346" s="18">
        <v>0</v>
      </c>
      <c r="K346" s="19">
        <f t="shared" si="46"/>
        <v>17</v>
      </c>
      <c r="L346" s="19">
        <v>15</v>
      </c>
      <c r="M346" s="19">
        <f t="shared" si="47"/>
        <v>2</v>
      </c>
      <c r="N346" s="25">
        <f t="shared" si="48"/>
        <v>0.88235294117647056</v>
      </c>
      <c r="O346" s="26" t="s">
        <v>495</v>
      </c>
    </row>
    <row r="347" spans="1:15" s="3" customFormat="1" ht="29.25" customHeight="1" x14ac:dyDescent="0.45">
      <c r="A347" s="3" t="s">
        <v>258</v>
      </c>
      <c r="B347" s="47">
        <v>14</v>
      </c>
      <c r="C347" s="7" t="s">
        <v>273</v>
      </c>
      <c r="D347" s="8" t="s">
        <v>274</v>
      </c>
      <c r="E347" s="18">
        <v>202</v>
      </c>
      <c r="F347" s="18">
        <v>70</v>
      </c>
      <c r="G347" s="18">
        <v>10</v>
      </c>
      <c r="H347" s="18">
        <f>40+20+10+10</f>
        <v>80</v>
      </c>
      <c r="I347" s="18">
        <v>3</v>
      </c>
      <c r="J347" s="18">
        <v>0</v>
      </c>
      <c r="K347" s="19">
        <f t="shared" si="46"/>
        <v>39</v>
      </c>
      <c r="L347" s="19">
        <v>38</v>
      </c>
      <c r="M347" s="19">
        <f t="shared" si="47"/>
        <v>1</v>
      </c>
      <c r="N347" s="25">
        <f t="shared" si="48"/>
        <v>0.97435897435897434</v>
      </c>
      <c r="O347" s="26" t="s">
        <v>495</v>
      </c>
    </row>
    <row r="348" spans="1:15" s="3" customFormat="1" ht="29.25" customHeight="1" x14ac:dyDescent="0.45">
      <c r="A348" s="3" t="s">
        <v>258</v>
      </c>
      <c r="B348" s="47">
        <v>15</v>
      </c>
      <c r="C348" s="7" t="s">
        <v>264</v>
      </c>
      <c r="D348" s="8" t="s">
        <v>265</v>
      </c>
      <c r="E348" s="18">
        <v>99</v>
      </c>
      <c r="F348" s="18">
        <v>40</v>
      </c>
      <c r="G348" s="18">
        <v>5</v>
      </c>
      <c r="H348" s="18">
        <v>31</v>
      </c>
      <c r="I348" s="18">
        <v>2</v>
      </c>
      <c r="J348" s="18">
        <v>0</v>
      </c>
      <c r="K348" s="19">
        <f t="shared" si="46"/>
        <v>21</v>
      </c>
      <c r="L348" s="19">
        <v>21</v>
      </c>
      <c r="M348" s="19">
        <f t="shared" si="47"/>
        <v>0</v>
      </c>
      <c r="N348" s="27">
        <f t="shared" si="48"/>
        <v>1</v>
      </c>
      <c r="O348" s="28" t="s">
        <v>499</v>
      </c>
    </row>
    <row r="349" spans="1:15" s="3" customFormat="1" ht="29.25" customHeight="1" x14ac:dyDescent="0.45">
      <c r="A349" s="3" t="s">
        <v>258</v>
      </c>
      <c r="B349" s="47">
        <v>16</v>
      </c>
      <c r="C349" s="7" t="s">
        <v>277</v>
      </c>
      <c r="D349" s="8" t="s">
        <v>278</v>
      </c>
      <c r="E349" s="18">
        <v>100</v>
      </c>
      <c r="F349" s="18">
        <v>40</v>
      </c>
      <c r="G349" s="18">
        <f>10+4+5</f>
        <v>19</v>
      </c>
      <c r="H349" s="18">
        <v>30</v>
      </c>
      <c r="I349" s="18">
        <v>2</v>
      </c>
      <c r="J349" s="18">
        <v>0</v>
      </c>
      <c r="K349" s="19">
        <f t="shared" si="46"/>
        <v>9</v>
      </c>
      <c r="L349" s="19">
        <v>9</v>
      </c>
      <c r="M349" s="19">
        <f t="shared" si="47"/>
        <v>0</v>
      </c>
      <c r="N349" s="27">
        <f t="shared" si="48"/>
        <v>1</v>
      </c>
      <c r="O349" s="28" t="s">
        <v>499</v>
      </c>
    </row>
    <row r="350" spans="1:15" s="3" customFormat="1" ht="29.25" customHeight="1" x14ac:dyDescent="0.45">
      <c r="A350" s="3" t="s">
        <v>258</v>
      </c>
      <c r="B350" s="47">
        <v>17</v>
      </c>
      <c r="C350" s="7" t="s">
        <v>283</v>
      </c>
      <c r="D350" s="8" t="s">
        <v>284</v>
      </c>
      <c r="E350" s="18">
        <v>101</v>
      </c>
      <c r="F350" s="18">
        <v>41</v>
      </c>
      <c r="G350" s="18">
        <f>10+3</f>
        <v>13</v>
      </c>
      <c r="H350" s="18">
        <v>30</v>
      </c>
      <c r="I350" s="18">
        <v>2</v>
      </c>
      <c r="J350" s="18">
        <v>0</v>
      </c>
      <c r="K350" s="19">
        <f t="shared" si="46"/>
        <v>15</v>
      </c>
      <c r="L350" s="19">
        <f>9-3+5+3+1</f>
        <v>15</v>
      </c>
      <c r="M350" s="19">
        <f t="shared" si="47"/>
        <v>0</v>
      </c>
      <c r="N350" s="27">
        <f t="shared" si="48"/>
        <v>1</v>
      </c>
      <c r="O350" s="28" t="s">
        <v>499</v>
      </c>
    </row>
    <row r="351" spans="1:15" s="3" customFormat="1" ht="29.25" customHeight="1" x14ac:dyDescent="0.45">
      <c r="A351" s="3" t="s">
        <v>258</v>
      </c>
      <c r="B351" s="47">
        <v>18</v>
      </c>
      <c r="C351" s="7" t="s">
        <v>262</v>
      </c>
      <c r="D351" s="8" t="s">
        <v>263</v>
      </c>
      <c r="E351" s="18">
        <v>98</v>
      </c>
      <c r="F351" s="18">
        <v>40</v>
      </c>
      <c r="G351" s="18">
        <f>10+2</f>
        <v>12</v>
      </c>
      <c r="H351" s="18">
        <v>30</v>
      </c>
      <c r="I351" s="18">
        <v>2</v>
      </c>
      <c r="J351" s="18">
        <v>0</v>
      </c>
      <c r="K351" s="19">
        <f t="shared" si="46"/>
        <v>14</v>
      </c>
      <c r="L351" s="19">
        <f>8+1+3+2</f>
        <v>14</v>
      </c>
      <c r="M351" s="19">
        <f t="shared" si="47"/>
        <v>0</v>
      </c>
      <c r="N351" s="27">
        <f t="shared" si="48"/>
        <v>1</v>
      </c>
      <c r="O351" s="28" t="s">
        <v>499</v>
      </c>
    </row>
    <row r="352" spans="1:15" s="3" customFormat="1" ht="29.25" customHeight="1" x14ac:dyDescent="0.45">
      <c r="A352" s="3" t="s">
        <v>258</v>
      </c>
      <c r="B352" s="47">
        <v>19</v>
      </c>
      <c r="C352" s="7" t="s">
        <v>266</v>
      </c>
      <c r="D352" s="8" t="s">
        <v>267</v>
      </c>
      <c r="E352" s="18">
        <v>100</v>
      </c>
      <c r="F352" s="18">
        <v>41</v>
      </c>
      <c r="G352" s="18">
        <v>12</v>
      </c>
      <c r="H352" s="18">
        <v>30</v>
      </c>
      <c r="I352" s="18">
        <v>3</v>
      </c>
      <c r="J352" s="18">
        <v>0</v>
      </c>
      <c r="K352" s="19">
        <f t="shared" si="46"/>
        <v>14</v>
      </c>
      <c r="L352" s="19">
        <f>12-3+1+4</f>
        <v>14</v>
      </c>
      <c r="M352" s="19">
        <f t="shared" si="47"/>
        <v>0</v>
      </c>
      <c r="N352" s="27">
        <f t="shared" si="48"/>
        <v>1</v>
      </c>
      <c r="O352" s="28" t="s">
        <v>499</v>
      </c>
    </row>
    <row r="353" spans="1:15" s="3" customFormat="1" ht="29.25" customHeight="1" x14ac:dyDescent="0.45">
      <c r="A353" s="3" t="s">
        <v>258</v>
      </c>
      <c r="B353" s="47">
        <v>20</v>
      </c>
      <c r="C353" s="7" t="s">
        <v>281</v>
      </c>
      <c r="D353" s="8" t="s">
        <v>282</v>
      </c>
      <c r="E353" s="18">
        <v>101</v>
      </c>
      <c r="F353" s="18">
        <v>41</v>
      </c>
      <c r="G353" s="18">
        <v>10</v>
      </c>
      <c r="H353" s="18">
        <v>30</v>
      </c>
      <c r="I353" s="18">
        <v>2</v>
      </c>
      <c r="J353" s="18">
        <v>0</v>
      </c>
      <c r="K353" s="19">
        <f t="shared" si="46"/>
        <v>18</v>
      </c>
      <c r="L353" s="19">
        <f>10+1+7</f>
        <v>18</v>
      </c>
      <c r="M353" s="19">
        <f t="shared" si="47"/>
        <v>0</v>
      </c>
      <c r="N353" s="27">
        <f t="shared" si="48"/>
        <v>1</v>
      </c>
      <c r="O353" s="28" t="s">
        <v>499</v>
      </c>
    </row>
    <row r="354" spans="1:15" s="3" customFormat="1" ht="29.25" customHeight="1" x14ac:dyDescent="0.45">
      <c r="A354" s="3" t="s">
        <v>285</v>
      </c>
      <c r="B354" s="47">
        <v>1</v>
      </c>
      <c r="C354" s="7" t="s">
        <v>340</v>
      </c>
      <c r="D354" s="8" t="s">
        <v>341</v>
      </c>
      <c r="E354" s="18">
        <v>102</v>
      </c>
      <c r="F354" s="18">
        <v>41</v>
      </c>
      <c r="G354" s="18">
        <v>10</v>
      </c>
      <c r="H354" s="18">
        <v>30</v>
      </c>
      <c r="I354" s="18">
        <v>3</v>
      </c>
      <c r="J354" s="18">
        <v>0</v>
      </c>
      <c r="K354" s="19">
        <f t="shared" ref="K354:K383" si="49">E354-F354-G354-H354-I354-J354</f>
        <v>18</v>
      </c>
      <c r="L354" s="19">
        <v>1</v>
      </c>
      <c r="M354" s="19">
        <f t="shared" ref="M354:M383" si="50">K354-L354</f>
        <v>17</v>
      </c>
      <c r="N354" s="59">
        <f t="shared" ref="N354:N383" si="51">L354/K354</f>
        <v>5.5555555555555552E-2</v>
      </c>
      <c r="O354" s="60" t="s">
        <v>496</v>
      </c>
    </row>
    <row r="355" spans="1:15" s="3" customFormat="1" ht="29.25" customHeight="1" x14ac:dyDescent="0.45">
      <c r="A355" s="3" t="s">
        <v>285</v>
      </c>
      <c r="B355" s="47">
        <v>2</v>
      </c>
      <c r="C355" s="7" t="s">
        <v>308</v>
      </c>
      <c r="D355" s="8" t="s">
        <v>309</v>
      </c>
      <c r="E355" s="18">
        <v>100</v>
      </c>
      <c r="F355" s="18">
        <v>41</v>
      </c>
      <c r="G355" s="18">
        <v>10</v>
      </c>
      <c r="H355" s="18">
        <v>30</v>
      </c>
      <c r="I355" s="18">
        <v>3</v>
      </c>
      <c r="J355" s="18">
        <v>0</v>
      </c>
      <c r="K355" s="19">
        <f t="shared" si="49"/>
        <v>16</v>
      </c>
      <c r="L355" s="19">
        <v>1</v>
      </c>
      <c r="M355" s="19">
        <f t="shared" si="50"/>
        <v>15</v>
      </c>
      <c r="N355" s="59">
        <f t="shared" si="51"/>
        <v>6.25E-2</v>
      </c>
      <c r="O355" s="60" t="s">
        <v>496</v>
      </c>
    </row>
    <row r="356" spans="1:15" s="3" customFormat="1" ht="29.25" customHeight="1" x14ac:dyDescent="0.45">
      <c r="A356" s="3" t="s">
        <v>285</v>
      </c>
      <c r="B356" s="47">
        <v>3</v>
      </c>
      <c r="C356" s="7" t="s">
        <v>338</v>
      </c>
      <c r="D356" s="8" t="s">
        <v>339</v>
      </c>
      <c r="E356" s="18">
        <v>102</v>
      </c>
      <c r="F356" s="18">
        <v>40</v>
      </c>
      <c r="G356" s="18">
        <v>10</v>
      </c>
      <c r="H356" s="18">
        <v>30</v>
      </c>
      <c r="I356" s="18">
        <v>3</v>
      </c>
      <c r="J356" s="18">
        <v>0</v>
      </c>
      <c r="K356" s="19">
        <f t="shared" si="49"/>
        <v>19</v>
      </c>
      <c r="L356" s="19">
        <v>3</v>
      </c>
      <c r="M356" s="19">
        <f t="shared" si="50"/>
        <v>16</v>
      </c>
      <c r="N356" s="59">
        <f t="shared" si="51"/>
        <v>0.15789473684210525</v>
      </c>
      <c r="O356" s="60" t="s">
        <v>496</v>
      </c>
    </row>
    <row r="357" spans="1:15" s="3" customFormat="1" ht="29.25" customHeight="1" x14ac:dyDescent="0.45">
      <c r="A357" s="3" t="s">
        <v>285</v>
      </c>
      <c r="B357" s="47">
        <v>7</v>
      </c>
      <c r="C357" s="7" t="s">
        <v>306</v>
      </c>
      <c r="D357" s="8" t="s">
        <v>307</v>
      </c>
      <c r="E357" s="18">
        <v>99</v>
      </c>
      <c r="F357" s="18">
        <v>40</v>
      </c>
      <c r="G357" s="18">
        <v>10</v>
      </c>
      <c r="H357" s="18">
        <v>30</v>
      </c>
      <c r="I357" s="18">
        <v>3</v>
      </c>
      <c r="J357" s="18">
        <v>0</v>
      </c>
      <c r="K357" s="19">
        <f t="shared" si="49"/>
        <v>16</v>
      </c>
      <c r="L357" s="19">
        <v>5</v>
      </c>
      <c r="M357" s="19">
        <f t="shared" si="50"/>
        <v>11</v>
      </c>
      <c r="N357" s="20">
        <f t="shared" si="51"/>
        <v>0.3125</v>
      </c>
      <c r="O357" s="22" t="s">
        <v>497</v>
      </c>
    </row>
    <row r="358" spans="1:15" s="3" customFormat="1" ht="29.25" customHeight="1" x14ac:dyDescent="0.45">
      <c r="A358" s="3" t="s">
        <v>285</v>
      </c>
      <c r="B358" s="47">
        <v>8</v>
      </c>
      <c r="C358" s="7" t="s">
        <v>296</v>
      </c>
      <c r="D358" s="8" t="s">
        <v>297</v>
      </c>
      <c r="E358" s="18">
        <v>101</v>
      </c>
      <c r="F358" s="18">
        <v>41</v>
      </c>
      <c r="G358" s="18">
        <v>10</v>
      </c>
      <c r="H358" s="18">
        <v>30</v>
      </c>
      <c r="I358" s="18">
        <v>3</v>
      </c>
      <c r="J358" s="18">
        <v>0</v>
      </c>
      <c r="K358" s="19">
        <f t="shared" si="49"/>
        <v>17</v>
      </c>
      <c r="L358" s="19">
        <v>6</v>
      </c>
      <c r="M358" s="19">
        <f t="shared" si="50"/>
        <v>11</v>
      </c>
      <c r="N358" s="20">
        <f t="shared" si="51"/>
        <v>0.35294117647058826</v>
      </c>
      <c r="O358" s="22" t="s">
        <v>497</v>
      </c>
    </row>
    <row r="359" spans="1:15" s="3" customFormat="1" ht="29.25" customHeight="1" x14ac:dyDescent="0.45">
      <c r="A359" s="3" t="s">
        <v>285</v>
      </c>
      <c r="B359" s="47">
        <v>9</v>
      </c>
      <c r="C359" s="7" t="s">
        <v>298</v>
      </c>
      <c r="D359" s="8" t="s">
        <v>299</v>
      </c>
      <c r="E359" s="18">
        <v>90</v>
      </c>
      <c r="F359" s="18">
        <v>30</v>
      </c>
      <c r="G359" s="18">
        <v>10</v>
      </c>
      <c r="H359" s="18">
        <v>30</v>
      </c>
      <c r="I359" s="18">
        <v>3</v>
      </c>
      <c r="J359" s="18">
        <v>0</v>
      </c>
      <c r="K359" s="19">
        <f t="shared" si="49"/>
        <v>17</v>
      </c>
      <c r="L359" s="19">
        <v>6</v>
      </c>
      <c r="M359" s="19">
        <f t="shared" si="50"/>
        <v>11</v>
      </c>
      <c r="N359" s="20">
        <f t="shared" si="51"/>
        <v>0.35294117647058826</v>
      </c>
      <c r="O359" s="22" t="s">
        <v>497</v>
      </c>
    </row>
    <row r="360" spans="1:15" s="3" customFormat="1" ht="29.25" customHeight="1" x14ac:dyDescent="0.45">
      <c r="A360" s="3" t="s">
        <v>285</v>
      </c>
      <c r="B360" s="47">
        <v>10</v>
      </c>
      <c r="C360" s="7" t="s">
        <v>302</v>
      </c>
      <c r="D360" s="8" t="s">
        <v>303</v>
      </c>
      <c r="E360" s="18">
        <v>102</v>
      </c>
      <c r="F360" s="18">
        <v>40</v>
      </c>
      <c r="G360" s="18">
        <v>10</v>
      </c>
      <c r="H360" s="18">
        <v>30</v>
      </c>
      <c r="I360" s="18">
        <v>3</v>
      </c>
      <c r="J360" s="18">
        <v>0</v>
      </c>
      <c r="K360" s="19">
        <f t="shared" si="49"/>
        <v>19</v>
      </c>
      <c r="L360" s="19">
        <v>6</v>
      </c>
      <c r="M360" s="19">
        <f t="shared" si="50"/>
        <v>13</v>
      </c>
      <c r="N360" s="20">
        <f t="shared" si="51"/>
        <v>0.31578947368421051</v>
      </c>
      <c r="O360" s="22" t="s">
        <v>497</v>
      </c>
    </row>
    <row r="361" spans="1:15" s="3" customFormat="1" ht="29.25" customHeight="1" x14ac:dyDescent="0.45">
      <c r="A361" s="3" t="s">
        <v>285</v>
      </c>
      <c r="B361" s="47">
        <v>11</v>
      </c>
      <c r="C361" s="7" t="s">
        <v>336</v>
      </c>
      <c r="D361" s="8" t="s">
        <v>337</v>
      </c>
      <c r="E361" s="18">
        <v>99</v>
      </c>
      <c r="F361" s="18">
        <v>40</v>
      </c>
      <c r="G361" s="18">
        <v>10</v>
      </c>
      <c r="H361" s="18">
        <v>30</v>
      </c>
      <c r="I361" s="18">
        <v>3</v>
      </c>
      <c r="J361" s="18">
        <v>0</v>
      </c>
      <c r="K361" s="19">
        <f t="shared" si="49"/>
        <v>16</v>
      </c>
      <c r="L361" s="19">
        <v>7</v>
      </c>
      <c r="M361" s="19">
        <f t="shared" si="50"/>
        <v>9</v>
      </c>
      <c r="N361" s="20">
        <f t="shared" si="51"/>
        <v>0.4375</v>
      </c>
      <c r="O361" s="22" t="s">
        <v>497</v>
      </c>
    </row>
    <row r="362" spans="1:15" s="3" customFormat="1" ht="29.25" customHeight="1" x14ac:dyDescent="0.45">
      <c r="A362" s="3" t="s">
        <v>285</v>
      </c>
      <c r="B362" s="47">
        <v>12</v>
      </c>
      <c r="C362" s="7" t="s">
        <v>316</v>
      </c>
      <c r="D362" s="8" t="s">
        <v>317</v>
      </c>
      <c r="E362" s="18">
        <v>99</v>
      </c>
      <c r="F362" s="18">
        <v>40</v>
      </c>
      <c r="G362" s="18">
        <v>10</v>
      </c>
      <c r="H362" s="18">
        <v>30</v>
      </c>
      <c r="I362" s="18">
        <v>3</v>
      </c>
      <c r="J362" s="18">
        <v>0</v>
      </c>
      <c r="K362" s="19">
        <f t="shared" si="49"/>
        <v>16</v>
      </c>
      <c r="L362" s="19">
        <v>7</v>
      </c>
      <c r="M362" s="19">
        <f t="shared" si="50"/>
        <v>9</v>
      </c>
      <c r="N362" s="20">
        <f t="shared" si="51"/>
        <v>0.4375</v>
      </c>
      <c r="O362" s="22" t="s">
        <v>497</v>
      </c>
    </row>
    <row r="363" spans="1:15" s="3" customFormat="1" ht="29.25" customHeight="1" x14ac:dyDescent="0.45">
      <c r="A363" s="3" t="s">
        <v>285</v>
      </c>
      <c r="B363" s="47">
        <v>13</v>
      </c>
      <c r="C363" s="7" t="s">
        <v>304</v>
      </c>
      <c r="D363" s="8" t="s">
        <v>305</v>
      </c>
      <c r="E363" s="18">
        <v>102</v>
      </c>
      <c r="F363" s="18">
        <v>41</v>
      </c>
      <c r="G363" s="18">
        <v>10</v>
      </c>
      <c r="H363" s="18">
        <v>30</v>
      </c>
      <c r="I363" s="18">
        <v>3</v>
      </c>
      <c r="J363" s="18">
        <v>0</v>
      </c>
      <c r="K363" s="19">
        <f t="shared" si="49"/>
        <v>18</v>
      </c>
      <c r="L363" s="19">
        <v>8</v>
      </c>
      <c r="M363" s="19">
        <f t="shared" si="50"/>
        <v>10</v>
      </c>
      <c r="N363" s="20">
        <f t="shared" si="51"/>
        <v>0.44444444444444442</v>
      </c>
      <c r="O363" s="22" t="s">
        <v>497</v>
      </c>
    </row>
    <row r="364" spans="1:15" s="3" customFormat="1" ht="29.25" customHeight="1" x14ac:dyDescent="0.45">
      <c r="A364" s="3" t="s">
        <v>285</v>
      </c>
      <c r="B364" s="47">
        <v>14</v>
      </c>
      <c r="C364" s="7" t="s">
        <v>344</v>
      </c>
      <c r="D364" s="8" t="s">
        <v>343</v>
      </c>
      <c r="E364" s="18">
        <v>101</v>
      </c>
      <c r="F364" s="18">
        <v>40</v>
      </c>
      <c r="G364" s="18">
        <v>10</v>
      </c>
      <c r="H364" s="18">
        <v>30</v>
      </c>
      <c r="I364" s="18">
        <v>3</v>
      </c>
      <c r="J364" s="18">
        <v>0</v>
      </c>
      <c r="K364" s="19">
        <f t="shared" si="49"/>
        <v>18</v>
      </c>
      <c r="L364" s="19">
        <v>9</v>
      </c>
      <c r="M364" s="19">
        <f t="shared" si="50"/>
        <v>9</v>
      </c>
      <c r="N364" s="20">
        <f t="shared" si="51"/>
        <v>0.5</v>
      </c>
      <c r="O364" s="22" t="s">
        <v>497</v>
      </c>
    </row>
    <row r="365" spans="1:15" s="3" customFormat="1" ht="29.25" customHeight="1" x14ac:dyDescent="0.45">
      <c r="A365" s="3" t="s">
        <v>285</v>
      </c>
      <c r="B365" s="47">
        <v>15</v>
      </c>
      <c r="C365" s="7" t="s">
        <v>320</v>
      </c>
      <c r="D365" s="8" t="s">
        <v>321</v>
      </c>
      <c r="E365" s="18">
        <v>101</v>
      </c>
      <c r="F365" s="18">
        <v>40</v>
      </c>
      <c r="G365" s="18">
        <v>10</v>
      </c>
      <c r="H365" s="18">
        <v>30</v>
      </c>
      <c r="I365" s="18">
        <v>3</v>
      </c>
      <c r="J365" s="18">
        <v>0</v>
      </c>
      <c r="K365" s="19">
        <f t="shared" si="49"/>
        <v>18</v>
      </c>
      <c r="L365" s="19">
        <v>10</v>
      </c>
      <c r="M365" s="19">
        <f t="shared" si="50"/>
        <v>8</v>
      </c>
      <c r="N365" s="23">
        <f t="shared" si="51"/>
        <v>0.55555555555555558</v>
      </c>
      <c r="O365" s="24" t="s">
        <v>498</v>
      </c>
    </row>
    <row r="366" spans="1:15" s="3" customFormat="1" ht="29.25" customHeight="1" x14ac:dyDescent="0.45">
      <c r="A366" s="3" t="s">
        <v>285</v>
      </c>
      <c r="B366" s="47">
        <v>16</v>
      </c>
      <c r="C366" s="7" t="s">
        <v>326</v>
      </c>
      <c r="D366" s="8" t="s">
        <v>327</v>
      </c>
      <c r="E366" s="18">
        <v>103</v>
      </c>
      <c r="F366" s="18">
        <v>41</v>
      </c>
      <c r="G366" s="18">
        <v>10</v>
      </c>
      <c r="H366" s="18">
        <v>30</v>
      </c>
      <c r="I366" s="18">
        <v>3</v>
      </c>
      <c r="J366" s="18">
        <v>0</v>
      </c>
      <c r="K366" s="19">
        <f t="shared" si="49"/>
        <v>19</v>
      </c>
      <c r="L366" s="19">
        <v>11</v>
      </c>
      <c r="M366" s="19">
        <f t="shared" si="50"/>
        <v>8</v>
      </c>
      <c r="N366" s="23">
        <f t="shared" si="51"/>
        <v>0.57894736842105265</v>
      </c>
      <c r="O366" s="24" t="s">
        <v>498</v>
      </c>
    </row>
    <row r="367" spans="1:15" s="3" customFormat="1" ht="29.25" customHeight="1" x14ac:dyDescent="0.45">
      <c r="A367" s="3" t="s">
        <v>285</v>
      </c>
      <c r="B367" s="47">
        <v>17</v>
      </c>
      <c r="C367" s="7" t="s">
        <v>294</v>
      </c>
      <c r="D367" s="8" t="s">
        <v>295</v>
      </c>
      <c r="E367" s="18">
        <v>101</v>
      </c>
      <c r="F367" s="18">
        <v>40</v>
      </c>
      <c r="G367" s="18">
        <v>10</v>
      </c>
      <c r="H367" s="18">
        <v>30</v>
      </c>
      <c r="I367" s="18">
        <v>3</v>
      </c>
      <c r="J367" s="18">
        <v>0</v>
      </c>
      <c r="K367" s="19">
        <f t="shared" si="49"/>
        <v>18</v>
      </c>
      <c r="L367" s="19">
        <v>11</v>
      </c>
      <c r="M367" s="19">
        <f t="shared" si="50"/>
        <v>7</v>
      </c>
      <c r="N367" s="23">
        <f t="shared" si="51"/>
        <v>0.61111111111111116</v>
      </c>
      <c r="O367" s="24" t="s">
        <v>498</v>
      </c>
    </row>
    <row r="368" spans="1:15" s="3" customFormat="1" ht="29.25" customHeight="1" x14ac:dyDescent="0.45">
      <c r="A368" s="3" t="s">
        <v>285</v>
      </c>
      <c r="B368" s="47">
        <v>18</v>
      </c>
      <c r="C368" s="7" t="s">
        <v>342</v>
      </c>
      <c r="D368" s="8" t="s">
        <v>343</v>
      </c>
      <c r="E368" s="18">
        <v>101</v>
      </c>
      <c r="F368" s="18">
        <v>40</v>
      </c>
      <c r="G368" s="18">
        <v>10</v>
      </c>
      <c r="H368" s="18">
        <v>30</v>
      </c>
      <c r="I368" s="18">
        <v>3</v>
      </c>
      <c r="J368" s="18">
        <v>0</v>
      </c>
      <c r="K368" s="19">
        <f t="shared" si="49"/>
        <v>18</v>
      </c>
      <c r="L368" s="19">
        <v>11</v>
      </c>
      <c r="M368" s="19">
        <f t="shared" si="50"/>
        <v>7</v>
      </c>
      <c r="N368" s="23">
        <f t="shared" si="51"/>
        <v>0.61111111111111116</v>
      </c>
      <c r="O368" s="24" t="s">
        <v>498</v>
      </c>
    </row>
    <row r="369" spans="1:15" s="3" customFormat="1" ht="29.25" customHeight="1" x14ac:dyDescent="0.45">
      <c r="A369" s="3" t="s">
        <v>285</v>
      </c>
      <c r="B369" s="47">
        <v>19</v>
      </c>
      <c r="C369" s="7" t="s">
        <v>318</v>
      </c>
      <c r="D369" s="8" t="s">
        <v>319</v>
      </c>
      <c r="E369" s="18">
        <v>101</v>
      </c>
      <c r="F369" s="18">
        <v>40</v>
      </c>
      <c r="G369" s="18">
        <v>10</v>
      </c>
      <c r="H369" s="18">
        <v>30</v>
      </c>
      <c r="I369" s="18">
        <v>3</v>
      </c>
      <c r="J369" s="18">
        <v>0</v>
      </c>
      <c r="K369" s="19">
        <f t="shared" si="49"/>
        <v>18</v>
      </c>
      <c r="L369" s="19">
        <v>11</v>
      </c>
      <c r="M369" s="19">
        <f t="shared" si="50"/>
        <v>7</v>
      </c>
      <c r="N369" s="23">
        <f t="shared" si="51"/>
        <v>0.61111111111111116</v>
      </c>
      <c r="O369" s="24" t="s">
        <v>498</v>
      </c>
    </row>
    <row r="370" spans="1:15" s="3" customFormat="1" ht="29.25" customHeight="1" x14ac:dyDescent="0.45">
      <c r="A370" s="3" t="s">
        <v>285</v>
      </c>
      <c r="B370" s="47">
        <v>20</v>
      </c>
      <c r="C370" s="7" t="s">
        <v>334</v>
      </c>
      <c r="D370" s="8" t="s">
        <v>335</v>
      </c>
      <c r="E370" s="18">
        <v>100</v>
      </c>
      <c r="F370" s="18">
        <v>40</v>
      </c>
      <c r="G370" s="18">
        <v>10</v>
      </c>
      <c r="H370" s="18">
        <v>31</v>
      </c>
      <c r="I370" s="18">
        <v>3</v>
      </c>
      <c r="J370" s="18">
        <v>0</v>
      </c>
      <c r="K370" s="19">
        <f t="shared" si="49"/>
        <v>16</v>
      </c>
      <c r="L370" s="19">
        <v>11</v>
      </c>
      <c r="M370" s="19">
        <f t="shared" si="50"/>
        <v>5</v>
      </c>
      <c r="N370" s="23">
        <f t="shared" si="51"/>
        <v>0.6875</v>
      </c>
      <c r="O370" s="24" t="s">
        <v>498</v>
      </c>
    </row>
    <row r="371" spans="1:15" s="3" customFormat="1" ht="29.25" customHeight="1" x14ac:dyDescent="0.45">
      <c r="A371" s="3" t="s">
        <v>285</v>
      </c>
      <c r="B371" s="47">
        <v>21</v>
      </c>
      <c r="C371" s="7" t="s">
        <v>330</v>
      </c>
      <c r="D371" s="8" t="s">
        <v>331</v>
      </c>
      <c r="E371" s="18">
        <v>100</v>
      </c>
      <c r="F371" s="18">
        <v>40</v>
      </c>
      <c r="G371" s="18">
        <v>10</v>
      </c>
      <c r="H371" s="18">
        <v>30</v>
      </c>
      <c r="I371" s="18">
        <v>3</v>
      </c>
      <c r="J371" s="18">
        <v>0</v>
      </c>
      <c r="K371" s="19">
        <f t="shared" si="49"/>
        <v>17</v>
      </c>
      <c r="L371" s="19">
        <v>12</v>
      </c>
      <c r="M371" s="19">
        <f t="shared" si="50"/>
        <v>5</v>
      </c>
      <c r="N371" s="23">
        <f t="shared" si="51"/>
        <v>0.70588235294117652</v>
      </c>
      <c r="O371" s="24" t="s">
        <v>498</v>
      </c>
    </row>
    <row r="372" spans="1:15" s="3" customFormat="1" ht="29.25" customHeight="1" x14ac:dyDescent="0.45">
      <c r="A372" s="3" t="s">
        <v>285</v>
      </c>
      <c r="B372" s="47">
        <v>22</v>
      </c>
      <c r="C372" s="7" t="s">
        <v>300</v>
      </c>
      <c r="D372" s="8" t="s">
        <v>301</v>
      </c>
      <c r="E372" s="18">
        <v>101</v>
      </c>
      <c r="F372" s="18">
        <v>40</v>
      </c>
      <c r="G372" s="18">
        <v>10</v>
      </c>
      <c r="H372" s="18">
        <v>30</v>
      </c>
      <c r="I372" s="18">
        <v>3</v>
      </c>
      <c r="J372" s="18">
        <v>0</v>
      </c>
      <c r="K372" s="19">
        <f t="shared" si="49"/>
        <v>18</v>
      </c>
      <c r="L372" s="19">
        <v>13</v>
      </c>
      <c r="M372" s="19">
        <f t="shared" si="50"/>
        <v>5</v>
      </c>
      <c r="N372" s="23">
        <f t="shared" si="51"/>
        <v>0.72222222222222221</v>
      </c>
      <c r="O372" s="24" t="s">
        <v>498</v>
      </c>
    </row>
    <row r="373" spans="1:15" s="3" customFormat="1" ht="29.25" customHeight="1" x14ac:dyDescent="0.45">
      <c r="A373" s="3" t="s">
        <v>285</v>
      </c>
      <c r="B373" s="47">
        <v>23</v>
      </c>
      <c r="C373" s="7" t="s">
        <v>328</v>
      </c>
      <c r="D373" s="8" t="s">
        <v>329</v>
      </c>
      <c r="E373" s="18">
        <v>103</v>
      </c>
      <c r="F373" s="18">
        <v>41</v>
      </c>
      <c r="G373" s="18">
        <f>10+5</f>
        <v>15</v>
      </c>
      <c r="H373" s="18">
        <f>30+3</f>
        <v>33</v>
      </c>
      <c r="I373" s="18">
        <v>3</v>
      </c>
      <c r="J373" s="18">
        <v>0</v>
      </c>
      <c r="K373" s="19">
        <f t="shared" si="49"/>
        <v>11</v>
      </c>
      <c r="L373" s="19">
        <v>8</v>
      </c>
      <c r="M373" s="19">
        <f t="shared" si="50"/>
        <v>3</v>
      </c>
      <c r="N373" s="23">
        <f t="shared" si="51"/>
        <v>0.72727272727272729</v>
      </c>
      <c r="O373" s="24" t="s">
        <v>498</v>
      </c>
    </row>
    <row r="374" spans="1:15" s="3" customFormat="1" ht="29.25" customHeight="1" x14ac:dyDescent="0.45">
      <c r="A374" s="3" t="s">
        <v>285</v>
      </c>
      <c r="B374" s="47">
        <v>24</v>
      </c>
      <c r="C374" s="7" t="s">
        <v>314</v>
      </c>
      <c r="D374" s="8" t="s">
        <v>315</v>
      </c>
      <c r="E374" s="18">
        <v>102</v>
      </c>
      <c r="F374" s="18">
        <v>40</v>
      </c>
      <c r="G374" s="18">
        <v>15</v>
      </c>
      <c r="H374" s="18">
        <v>30</v>
      </c>
      <c r="I374" s="18">
        <v>2</v>
      </c>
      <c r="J374" s="18">
        <v>0</v>
      </c>
      <c r="K374" s="19">
        <f t="shared" si="49"/>
        <v>15</v>
      </c>
      <c r="L374" s="19">
        <f>10-2+1+1+1</f>
        <v>11</v>
      </c>
      <c r="M374" s="19">
        <f t="shared" si="50"/>
        <v>4</v>
      </c>
      <c r="N374" s="23">
        <f t="shared" si="51"/>
        <v>0.73333333333333328</v>
      </c>
      <c r="O374" s="24" t="s">
        <v>498</v>
      </c>
    </row>
    <row r="375" spans="1:15" s="3" customFormat="1" ht="29.25" customHeight="1" x14ac:dyDescent="0.45">
      <c r="A375" s="3" t="s">
        <v>285</v>
      </c>
      <c r="B375" s="47">
        <v>25</v>
      </c>
      <c r="C375" s="7" t="s">
        <v>292</v>
      </c>
      <c r="D375" s="8" t="s">
        <v>293</v>
      </c>
      <c r="E375" s="18">
        <v>103</v>
      </c>
      <c r="F375" s="18">
        <v>40</v>
      </c>
      <c r="G375" s="18">
        <v>10</v>
      </c>
      <c r="H375" s="18">
        <v>30</v>
      </c>
      <c r="I375" s="18">
        <v>2</v>
      </c>
      <c r="J375" s="18">
        <v>0</v>
      </c>
      <c r="K375" s="19">
        <f t="shared" si="49"/>
        <v>21</v>
      </c>
      <c r="L375" s="19">
        <v>16</v>
      </c>
      <c r="M375" s="19">
        <f t="shared" si="50"/>
        <v>5</v>
      </c>
      <c r="N375" s="25">
        <f t="shared" si="51"/>
        <v>0.76190476190476186</v>
      </c>
      <c r="O375" s="26" t="s">
        <v>495</v>
      </c>
    </row>
    <row r="376" spans="1:15" s="3" customFormat="1" ht="29.25" customHeight="1" x14ac:dyDescent="0.45">
      <c r="A376" s="3" t="s">
        <v>285</v>
      </c>
      <c r="B376" s="47">
        <v>26</v>
      </c>
      <c r="C376" s="7" t="s">
        <v>332</v>
      </c>
      <c r="D376" s="8" t="s">
        <v>333</v>
      </c>
      <c r="E376" s="18">
        <v>101</v>
      </c>
      <c r="F376" s="18">
        <v>41</v>
      </c>
      <c r="G376" s="18">
        <v>10</v>
      </c>
      <c r="H376" s="18">
        <v>30</v>
      </c>
      <c r="I376" s="18">
        <v>3</v>
      </c>
      <c r="J376" s="18">
        <v>0</v>
      </c>
      <c r="K376" s="19">
        <f t="shared" si="49"/>
        <v>17</v>
      </c>
      <c r="L376" s="19">
        <v>13</v>
      </c>
      <c r="M376" s="19">
        <f t="shared" si="50"/>
        <v>4</v>
      </c>
      <c r="N376" s="25">
        <f t="shared" si="51"/>
        <v>0.76470588235294112</v>
      </c>
      <c r="O376" s="26" t="s">
        <v>495</v>
      </c>
    </row>
    <row r="377" spans="1:15" s="3" customFormat="1" ht="29.25" customHeight="1" x14ac:dyDescent="0.45">
      <c r="A377" s="3" t="s">
        <v>285</v>
      </c>
      <c r="B377" s="47">
        <v>27</v>
      </c>
      <c r="C377" s="7" t="s">
        <v>324</v>
      </c>
      <c r="D377" s="8" t="s">
        <v>325</v>
      </c>
      <c r="E377" s="18">
        <v>92</v>
      </c>
      <c r="F377" s="18">
        <v>30</v>
      </c>
      <c r="G377" s="18">
        <v>10</v>
      </c>
      <c r="H377" s="18">
        <v>30</v>
      </c>
      <c r="I377" s="18">
        <v>3</v>
      </c>
      <c r="J377" s="18">
        <v>0</v>
      </c>
      <c r="K377" s="19">
        <f t="shared" si="49"/>
        <v>19</v>
      </c>
      <c r="L377" s="19">
        <v>16</v>
      </c>
      <c r="M377" s="19">
        <f t="shared" si="50"/>
        <v>3</v>
      </c>
      <c r="N377" s="25">
        <f t="shared" si="51"/>
        <v>0.84210526315789469</v>
      </c>
      <c r="O377" s="26" t="s">
        <v>495</v>
      </c>
    </row>
    <row r="378" spans="1:15" s="3" customFormat="1" ht="29.25" customHeight="1" x14ac:dyDescent="0.45">
      <c r="A378" s="3" t="s">
        <v>285</v>
      </c>
      <c r="B378" s="47">
        <v>28</v>
      </c>
      <c r="C378" s="7" t="s">
        <v>312</v>
      </c>
      <c r="D378" s="8" t="s">
        <v>313</v>
      </c>
      <c r="E378" s="18">
        <v>102</v>
      </c>
      <c r="F378" s="18">
        <v>40</v>
      </c>
      <c r="G378" s="18">
        <v>15</v>
      </c>
      <c r="H378" s="18">
        <v>31</v>
      </c>
      <c r="I378" s="18">
        <v>3</v>
      </c>
      <c r="J378" s="18">
        <v>0</v>
      </c>
      <c r="K378" s="19">
        <f t="shared" si="49"/>
        <v>13</v>
      </c>
      <c r="L378" s="19">
        <v>11</v>
      </c>
      <c r="M378" s="19">
        <f t="shared" si="50"/>
        <v>2</v>
      </c>
      <c r="N378" s="25">
        <f t="shared" si="51"/>
        <v>0.84615384615384615</v>
      </c>
      <c r="O378" s="26" t="s">
        <v>495</v>
      </c>
    </row>
    <row r="379" spans="1:15" s="3" customFormat="1" ht="29.25" customHeight="1" x14ac:dyDescent="0.45">
      <c r="A379" s="3" t="s">
        <v>285</v>
      </c>
      <c r="B379" s="47">
        <v>29</v>
      </c>
      <c r="C379" s="7" t="s">
        <v>322</v>
      </c>
      <c r="D379" s="8" t="s">
        <v>323</v>
      </c>
      <c r="E379" s="18">
        <v>101</v>
      </c>
      <c r="F379" s="18">
        <v>41</v>
      </c>
      <c r="G379" s="18">
        <f>10+2</f>
        <v>12</v>
      </c>
      <c r="H379" s="18">
        <v>30</v>
      </c>
      <c r="I379" s="18">
        <v>3</v>
      </c>
      <c r="J379" s="18">
        <v>0</v>
      </c>
      <c r="K379" s="19">
        <f t="shared" si="49"/>
        <v>15</v>
      </c>
      <c r="L379" s="19">
        <v>14</v>
      </c>
      <c r="M379" s="19">
        <f t="shared" si="50"/>
        <v>1</v>
      </c>
      <c r="N379" s="25">
        <f t="shared" si="51"/>
        <v>0.93333333333333335</v>
      </c>
      <c r="O379" s="26" t="s">
        <v>495</v>
      </c>
    </row>
    <row r="380" spans="1:15" s="3" customFormat="1" ht="29.25" customHeight="1" x14ac:dyDescent="0.45">
      <c r="A380" s="3" t="s">
        <v>285</v>
      </c>
      <c r="B380" s="47">
        <v>30</v>
      </c>
      <c r="C380" s="7" t="s">
        <v>288</v>
      </c>
      <c r="D380" s="8" t="s">
        <v>289</v>
      </c>
      <c r="E380" s="18">
        <v>103</v>
      </c>
      <c r="F380" s="18">
        <v>41</v>
      </c>
      <c r="G380" s="18">
        <v>10</v>
      </c>
      <c r="H380" s="18">
        <f>30+4</f>
        <v>34</v>
      </c>
      <c r="I380" s="18">
        <v>2</v>
      </c>
      <c r="J380" s="18">
        <v>0</v>
      </c>
      <c r="K380" s="19">
        <f t="shared" si="49"/>
        <v>16</v>
      </c>
      <c r="L380" s="19">
        <v>16</v>
      </c>
      <c r="M380" s="19">
        <f t="shared" si="50"/>
        <v>0</v>
      </c>
      <c r="N380" s="27">
        <f t="shared" si="51"/>
        <v>1</v>
      </c>
      <c r="O380" s="28" t="s">
        <v>499</v>
      </c>
    </row>
    <row r="381" spans="1:15" s="3" customFormat="1" ht="29.25" customHeight="1" x14ac:dyDescent="0.45">
      <c r="A381" s="3" t="s">
        <v>285</v>
      </c>
      <c r="B381" s="47">
        <v>31</v>
      </c>
      <c r="C381" s="7" t="s">
        <v>310</v>
      </c>
      <c r="D381" s="8" t="s">
        <v>311</v>
      </c>
      <c r="E381" s="18">
        <v>100</v>
      </c>
      <c r="F381" s="18">
        <v>40</v>
      </c>
      <c r="G381" s="18">
        <f>10+5</f>
        <v>15</v>
      </c>
      <c r="H381" s="18">
        <v>30</v>
      </c>
      <c r="I381" s="18">
        <v>2</v>
      </c>
      <c r="J381" s="18">
        <v>0</v>
      </c>
      <c r="K381" s="19">
        <f t="shared" si="49"/>
        <v>13</v>
      </c>
      <c r="L381" s="19">
        <f>11-3+2+1+1+1</f>
        <v>13</v>
      </c>
      <c r="M381" s="19">
        <f t="shared" si="50"/>
        <v>0</v>
      </c>
      <c r="N381" s="27">
        <f t="shared" si="51"/>
        <v>1</v>
      </c>
      <c r="O381" s="28" t="s">
        <v>499</v>
      </c>
    </row>
    <row r="382" spans="1:15" s="3" customFormat="1" ht="29.25" customHeight="1" x14ac:dyDescent="0.45">
      <c r="A382" s="3" t="s">
        <v>285</v>
      </c>
      <c r="B382" s="47">
        <v>32</v>
      </c>
      <c r="C382" s="7" t="s">
        <v>286</v>
      </c>
      <c r="D382" s="8" t="s">
        <v>287</v>
      </c>
      <c r="E382" s="18">
        <v>101</v>
      </c>
      <c r="F382" s="18">
        <v>40</v>
      </c>
      <c r="G382" s="18">
        <f>10+5</f>
        <v>15</v>
      </c>
      <c r="H382" s="18">
        <v>30</v>
      </c>
      <c r="I382" s="18">
        <v>2</v>
      </c>
      <c r="J382" s="18">
        <v>0</v>
      </c>
      <c r="K382" s="19">
        <f t="shared" si="49"/>
        <v>14</v>
      </c>
      <c r="L382" s="19">
        <f>12-3+1+3+1</f>
        <v>14</v>
      </c>
      <c r="M382" s="19">
        <f t="shared" si="50"/>
        <v>0</v>
      </c>
      <c r="N382" s="27">
        <f t="shared" si="51"/>
        <v>1</v>
      </c>
      <c r="O382" s="28" t="s">
        <v>499</v>
      </c>
    </row>
    <row r="383" spans="1:15" s="3" customFormat="1" ht="27.6" customHeight="1" x14ac:dyDescent="0.45">
      <c r="A383" s="3" t="s">
        <v>285</v>
      </c>
      <c r="B383" s="47">
        <v>33</v>
      </c>
      <c r="C383" s="7" t="s">
        <v>290</v>
      </c>
      <c r="D383" s="8" t="s">
        <v>291</v>
      </c>
      <c r="E383" s="18">
        <v>100</v>
      </c>
      <c r="F383" s="18">
        <v>40</v>
      </c>
      <c r="G383" s="18">
        <v>10</v>
      </c>
      <c r="H383" s="18">
        <v>31</v>
      </c>
      <c r="I383" s="18">
        <v>2</v>
      </c>
      <c r="J383" s="18">
        <v>0</v>
      </c>
      <c r="K383" s="19">
        <f t="shared" si="49"/>
        <v>17</v>
      </c>
      <c r="L383" s="19">
        <f>10+1+2+1+3</f>
        <v>17</v>
      </c>
      <c r="M383" s="19">
        <f t="shared" si="50"/>
        <v>0</v>
      </c>
      <c r="N383" s="27">
        <f t="shared" si="51"/>
        <v>1</v>
      </c>
      <c r="O383" s="28" t="s">
        <v>499</v>
      </c>
    </row>
    <row r="384" spans="1:15" s="3" customFormat="1" ht="29.25" customHeight="1" x14ac:dyDescent="0.45">
      <c r="A384" s="3" t="s">
        <v>345</v>
      </c>
      <c r="B384" s="47">
        <v>1</v>
      </c>
      <c r="C384" s="7" t="s">
        <v>348</v>
      </c>
      <c r="D384" s="8" t="s">
        <v>349</v>
      </c>
      <c r="E384" s="18">
        <v>99</v>
      </c>
      <c r="F384" s="18">
        <v>30</v>
      </c>
      <c r="G384" s="18">
        <v>10</v>
      </c>
      <c r="H384" s="18">
        <f>10+10</f>
        <v>20</v>
      </c>
      <c r="I384" s="18">
        <v>5</v>
      </c>
      <c r="J384" s="18">
        <v>0</v>
      </c>
      <c r="K384" s="19">
        <f t="shared" ref="K384:K415" si="52">E384-F384-G384-H384-I384-J384</f>
        <v>34</v>
      </c>
      <c r="L384" s="19">
        <v>4</v>
      </c>
      <c r="M384" s="19">
        <f t="shared" ref="M384:M415" si="53">K384-L384</f>
        <v>30</v>
      </c>
      <c r="N384" s="59">
        <f t="shared" ref="N384:N415" si="54">L384/K384</f>
        <v>0.11764705882352941</v>
      </c>
      <c r="O384" s="60" t="s">
        <v>496</v>
      </c>
    </row>
    <row r="385" spans="1:15" s="3" customFormat="1" ht="29.25" customHeight="1" x14ac:dyDescent="0.45">
      <c r="A385" s="3" t="s">
        <v>345</v>
      </c>
      <c r="B385" s="47">
        <v>2</v>
      </c>
      <c r="C385" s="7" t="s">
        <v>351</v>
      </c>
      <c r="D385" s="8" t="s">
        <v>349</v>
      </c>
      <c r="E385" s="18">
        <v>99</v>
      </c>
      <c r="F385" s="18">
        <v>30</v>
      </c>
      <c r="G385" s="18">
        <v>35</v>
      </c>
      <c r="H385" s="18">
        <f>10+10</f>
        <v>20</v>
      </c>
      <c r="I385" s="18">
        <v>5</v>
      </c>
      <c r="J385" s="18">
        <v>0</v>
      </c>
      <c r="K385" s="19">
        <f t="shared" si="52"/>
        <v>9</v>
      </c>
      <c r="L385" s="19">
        <v>3</v>
      </c>
      <c r="M385" s="19">
        <f t="shared" si="53"/>
        <v>6</v>
      </c>
      <c r="N385" s="20">
        <f t="shared" si="54"/>
        <v>0.33333333333333331</v>
      </c>
      <c r="O385" s="22" t="s">
        <v>497</v>
      </c>
    </row>
    <row r="386" spans="1:15" s="3" customFormat="1" ht="29.25" customHeight="1" x14ac:dyDescent="0.45">
      <c r="A386" s="3" t="s">
        <v>345</v>
      </c>
      <c r="B386" s="47">
        <v>3</v>
      </c>
      <c r="C386" s="7" t="s">
        <v>685</v>
      </c>
      <c r="D386" s="8" t="s">
        <v>174</v>
      </c>
      <c r="E386" s="18">
        <v>101</v>
      </c>
      <c r="F386" s="18">
        <v>40</v>
      </c>
      <c r="G386" s="18">
        <v>15</v>
      </c>
      <c r="H386" s="18">
        <v>30</v>
      </c>
      <c r="I386" s="18">
        <v>5</v>
      </c>
      <c r="J386" s="18">
        <v>0</v>
      </c>
      <c r="K386" s="19">
        <f t="shared" si="52"/>
        <v>11</v>
      </c>
      <c r="L386" s="19">
        <v>4</v>
      </c>
      <c r="M386" s="19">
        <f t="shared" si="53"/>
        <v>7</v>
      </c>
      <c r="N386" s="20">
        <f t="shared" si="54"/>
        <v>0.36363636363636365</v>
      </c>
      <c r="O386" s="22" t="s">
        <v>497</v>
      </c>
    </row>
    <row r="387" spans="1:15" s="3" customFormat="1" ht="29.25" customHeight="1" x14ac:dyDescent="0.45">
      <c r="A387" s="3" t="s">
        <v>345</v>
      </c>
      <c r="B387" s="47">
        <v>4</v>
      </c>
      <c r="C387" s="7" t="s">
        <v>689</v>
      </c>
      <c r="D387" s="8" t="s">
        <v>350</v>
      </c>
      <c r="E387" s="18">
        <v>100</v>
      </c>
      <c r="F387" s="18">
        <v>40</v>
      </c>
      <c r="G387" s="18">
        <v>15</v>
      </c>
      <c r="H387" s="18">
        <v>30</v>
      </c>
      <c r="I387" s="18">
        <v>5</v>
      </c>
      <c r="J387" s="18">
        <v>0</v>
      </c>
      <c r="K387" s="19">
        <f t="shared" si="52"/>
        <v>10</v>
      </c>
      <c r="L387" s="19">
        <v>4</v>
      </c>
      <c r="M387" s="19">
        <f t="shared" si="53"/>
        <v>6</v>
      </c>
      <c r="N387" s="20">
        <f t="shared" si="54"/>
        <v>0.4</v>
      </c>
      <c r="O387" s="22" t="s">
        <v>497</v>
      </c>
    </row>
    <row r="388" spans="1:15" s="3" customFormat="1" ht="29.25" customHeight="1" x14ac:dyDescent="0.45">
      <c r="A388" s="3" t="s">
        <v>345</v>
      </c>
      <c r="B388" s="47">
        <v>5</v>
      </c>
      <c r="C388" s="7" t="s">
        <v>688</v>
      </c>
      <c r="D388" s="8" t="s">
        <v>173</v>
      </c>
      <c r="E388" s="18">
        <v>101</v>
      </c>
      <c r="F388" s="18">
        <v>41</v>
      </c>
      <c r="G388" s="18">
        <v>15</v>
      </c>
      <c r="H388" s="18">
        <v>30</v>
      </c>
      <c r="I388" s="18">
        <v>5</v>
      </c>
      <c r="J388" s="18">
        <v>0</v>
      </c>
      <c r="K388" s="19">
        <f t="shared" si="52"/>
        <v>10</v>
      </c>
      <c r="L388" s="19">
        <v>4</v>
      </c>
      <c r="M388" s="19">
        <f t="shared" si="53"/>
        <v>6</v>
      </c>
      <c r="N388" s="20">
        <f t="shared" si="54"/>
        <v>0.4</v>
      </c>
      <c r="O388" s="22" t="s">
        <v>497</v>
      </c>
    </row>
    <row r="389" spans="1:15" s="3" customFormat="1" ht="29.25" customHeight="1" x14ac:dyDescent="0.45">
      <c r="A389" s="3" t="s">
        <v>345</v>
      </c>
      <c r="B389" s="47">
        <v>6</v>
      </c>
      <c r="C389" s="7" t="s">
        <v>690</v>
      </c>
      <c r="D389" s="8" t="s">
        <v>165</v>
      </c>
      <c r="E389" s="18">
        <v>102</v>
      </c>
      <c r="F389" s="18">
        <f>21+10</f>
        <v>31</v>
      </c>
      <c r="G389" s="18">
        <f>10+5+4</f>
        <v>19</v>
      </c>
      <c r="H389" s="18">
        <v>30</v>
      </c>
      <c r="I389" s="18">
        <v>5</v>
      </c>
      <c r="J389" s="18">
        <v>0</v>
      </c>
      <c r="K389" s="19">
        <f t="shared" si="52"/>
        <v>17</v>
      </c>
      <c r="L389" s="19">
        <v>7</v>
      </c>
      <c r="M389" s="19">
        <f t="shared" si="53"/>
        <v>10</v>
      </c>
      <c r="N389" s="20">
        <f t="shared" si="54"/>
        <v>0.41176470588235292</v>
      </c>
      <c r="O389" s="22" t="s">
        <v>497</v>
      </c>
    </row>
    <row r="390" spans="1:15" s="3" customFormat="1" ht="29.25" customHeight="1" x14ac:dyDescent="0.45">
      <c r="A390" s="3" t="s">
        <v>345</v>
      </c>
      <c r="B390" s="47">
        <v>7</v>
      </c>
      <c r="C390" s="7" t="s">
        <v>686</v>
      </c>
      <c r="D390" s="8" t="s">
        <v>148</v>
      </c>
      <c r="E390" s="18">
        <v>100</v>
      </c>
      <c r="F390" s="18">
        <v>41</v>
      </c>
      <c r="G390" s="18">
        <v>15</v>
      </c>
      <c r="H390" s="18">
        <v>30</v>
      </c>
      <c r="I390" s="18">
        <v>5</v>
      </c>
      <c r="J390" s="18">
        <v>0</v>
      </c>
      <c r="K390" s="19">
        <f t="shared" si="52"/>
        <v>9</v>
      </c>
      <c r="L390" s="19">
        <v>4</v>
      </c>
      <c r="M390" s="19">
        <f t="shared" si="53"/>
        <v>5</v>
      </c>
      <c r="N390" s="20">
        <f t="shared" si="54"/>
        <v>0.44444444444444442</v>
      </c>
      <c r="O390" s="22" t="s">
        <v>497</v>
      </c>
    </row>
    <row r="391" spans="1:15" s="3" customFormat="1" ht="29.25" customHeight="1" x14ac:dyDescent="0.45">
      <c r="A391" s="3" t="s">
        <v>345</v>
      </c>
      <c r="B391" s="47">
        <v>8</v>
      </c>
      <c r="C391" s="7" t="s">
        <v>694</v>
      </c>
      <c r="D391" s="8" t="s">
        <v>183</v>
      </c>
      <c r="E391" s="18">
        <v>100</v>
      </c>
      <c r="F391" s="18">
        <v>40</v>
      </c>
      <c r="G391" s="18">
        <v>19</v>
      </c>
      <c r="H391" s="18">
        <v>24</v>
      </c>
      <c r="I391" s="18">
        <v>6</v>
      </c>
      <c r="J391" s="18">
        <v>0</v>
      </c>
      <c r="K391" s="19">
        <f t="shared" si="52"/>
        <v>11</v>
      </c>
      <c r="L391" s="19">
        <v>5</v>
      </c>
      <c r="M391" s="19">
        <f t="shared" si="53"/>
        <v>6</v>
      </c>
      <c r="N391" s="20">
        <f t="shared" si="54"/>
        <v>0.45454545454545453</v>
      </c>
      <c r="O391" s="22" t="s">
        <v>497</v>
      </c>
    </row>
    <row r="392" spans="1:15" s="3" customFormat="1" ht="29.25" customHeight="1" x14ac:dyDescent="0.45">
      <c r="A392" s="3" t="s">
        <v>345</v>
      </c>
      <c r="B392" s="47">
        <v>9</v>
      </c>
      <c r="C392" s="7" t="s">
        <v>700</v>
      </c>
      <c r="D392" s="8" t="s">
        <v>164</v>
      </c>
      <c r="E392" s="18">
        <v>103</v>
      </c>
      <c r="F392" s="18">
        <v>41</v>
      </c>
      <c r="G392" s="18">
        <f>10+5</f>
        <v>15</v>
      </c>
      <c r="H392" s="18">
        <v>30</v>
      </c>
      <c r="I392" s="18">
        <v>5</v>
      </c>
      <c r="J392" s="18">
        <v>0</v>
      </c>
      <c r="K392" s="19">
        <f t="shared" si="52"/>
        <v>12</v>
      </c>
      <c r="L392" s="19">
        <v>6</v>
      </c>
      <c r="M392" s="19">
        <f t="shared" si="53"/>
        <v>6</v>
      </c>
      <c r="N392" s="20">
        <f t="shared" si="54"/>
        <v>0.5</v>
      </c>
      <c r="O392" s="22" t="s">
        <v>497</v>
      </c>
    </row>
    <row r="393" spans="1:15" s="3" customFormat="1" ht="29.25" customHeight="1" x14ac:dyDescent="0.45">
      <c r="A393" s="3" t="s">
        <v>345</v>
      </c>
      <c r="B393" s="47">
        <v>10</v>
      </c>
      <c r="C393" s="7" t="s">
        <v>695</v>
      </c>
      <c r="D393" s="8" t="s">
        <v>179</v>
      </c>
      <c r="E393" s="18">
        <v>98</v>
      </c>
      <c r="F393" s="18">
        <v>40</v>
      </c>
      <c r="G393" s="18">
        <v>20</v>
      </c>
      <c r="H393" s="18">
        <v>22</v>
      </c>
      <c r="I393" s="18">
        <v>5</v>
      </c>
      <c r="J393" s="18">
        <v>0</v>
      </c>
      <c r="K393" s="19">
        <f t="shared" si="52"/>
        <v>11</v>
      </c>
      <c r="L393" s="19">
        <v>6</v>
      </c>
      <c r="M393" s="19">
        <f t="shared" si="53"/>
        <v>5</v>
      </c>
      <c r="N393" s="23">
        <f t="shared" si="54"/>
        <v>0.54545454545454541</v>
      </c>
      <c r="O393" s="24" t="s">
        <v>498</v>
      </c>
    </row>
    <row r="394" spans="1:15" s="3" customFormat="1" ht="29.25" customHeight="1" x14ac:dyDescent="0.45">
      <c r="A394" s="3" t="s">
        <v>345</v>
      </c>
      <c r="B394" s="47">
        <v>11</v>
      </c>
      <c r="C394" s="7" t="s">
        <v>692</v>
      </c>
      <c r="D394" s="8" t="s">
        <v>182</v>
      </c>
      <c r="E394" s="18">
        <v>101</v>
      </c>
      <c r="F394" s="18">
        <v>30</v>
      </c>
      <c r="G394" s="18">
        <v>25</v>
      </c>
      <c r="H394" s="18">
        <v>30</v>
      </c>
      <c r="I394" s="18">
        <v>5</v>
      </c>
      <c r="J394" s="18">
        <v>0</v>
      </c>
      <c r="K394" s="19">
        <f t="shared" si="52"/>
        <v>11</v>
      </c>
      <c r="L394" s="19">
        <v>6</v>
      </c>
      <c r="M394" s="19">
        <f t="shared" si="53"/>
        <v>5</v>
      </c>
      <c r="N394" s="23">
        <f t="shared" si="54"/>
        <v>0.54545454545454541</v>
      </c>
      <c r="O394" s="24" t="s">
        <v>498</v>
      </c>
    </row>
    <row r="395" spans="1:15" s="3" customFormat="1" ht="29.25" customHeight="1" x14ac:dyDescent="0.45">
      <c r="A395" s="3" t="s">
        <v>345</v>
      </c>
      <c r="B395" s="47">
        <v>12</v>
      </c>
      <c r="C395" s="7" t="s">
        <v>684</v>
      </c>
      <c r="D395" s="8" t="s">
        <v>149</v>
      </c>
      <c r="E395" s="18">
        <v>101</v>
      </c>
      <c r="F395" s="18">
        <v>40</v>
      </c>
      <c r="G395" s="18">
        <v>10</v>
      </c>
      <c r="H395" s="18">
        <v>30</v>
      </c>
      <c r="I395" s="18">
        <v>5</v>
      </c>
      <c r="J395" s="18">
        <v>0</v>
      </c>
      <c r="K395" s="19">
        <f t="shared" si="52"/>
        <v>16</v>
      </c>
      <c r="L395" s="19">
        <v>9</v>
      </c>
      <c r="M395" s="19">
        <f t="shared" si="53"/>
        <v>7</v>
      </c>
      <c r="N395" s="23">
        <f t="shared" si="54"/>
        <v>0.5625</v>
      </c>
      <c r="O395" s="24" t="s">
        <v>498</v>
      </c>
    </row>
    <row r="396" spans="1:15" s="3" customFormat="1" ht="29.25" customHeight="1" x14ac:dyDescent="0.45">
      <c r="A396" s="3" t="s">
        <v>345</v>
      </c>
      <c r="B396" s="47">
        <v>13</v>
      </c>
      <c r="C396" s="7" t="s">
        <v>703</v>
      </c>
      <c r="D396" s="8" t="s">
        <v>166</v>
      </c>
      <c r="E396" s="18">
        <v>99</v>
      </c>
      <c r="F396" s="18">
        <v>40</v>
      </c>
      <c r="G396" s="18">
        <v>10</v>
      </c>
      <c r="H396" s="18">
        <v>30</v>
      </c>
      <c r="I396" s="18">
        <v>5</v>
      </c>
      <c r="J396" s="18">
        <v>0</v>
      </c>
      <c r="K396" s="19">
        <f t="shared" si="52"/>
        <v>14</v>
      </c>
      <c r="L396" s="19">
        <v>8</v>
      </c>
      <c r="M396" s="19">
        <f t="shared" si="53"/>
        <v>6</v>
      </c>
      <c r="N396" s="23">
        <f t="shared" si="54"/>
        <v>0.5714285714285714</v>
      </c>
      <c r="O396" s="24" t="s">
        <v>498</v>
      </c>
    </row>
    <row r="397" spans="1:15" s="3" customFormat="1" ht="29.25" customHeight="1" x14ac:dyDescent="0.45">
      <c r="A397" s="3" t="s">
        <v>345</v>
      </c>
      <c r="B397" s="47">
        <v>14</v>
      </c>
      <c r="C397" s="7" t="s">
        <v>709</v>
      </c>
      <c r="D397" s="8" t="s">
        <v>152</v>
      </c>
      <c r="E397" s="18">
        <f>101+20</f>
        <v>121</v>
      </c>
      <c r="F397" s="18">
        <v>41</v>
      </c>
      <c r="G397" s="18">
        <v>15</v>
      </c>
      <c r="H397" s="18">
        <v>35</v>
      </c>
      <c r="I397" s="18">
        <v>5</v>
      </c>
      <c r="J397" s="18">
        <v>0</v>
      </c>
      <c r="K397" s="19">
        <f t="shared" si="52"/>
        <v>25</v>
      </c>
      <c r="L397" s="19">
        <v>15</v>
      </c>
      <c r="M397" s="19">
        <f t="shared" si="53"/>
        <v>10</v>
      </c>
      <c r="N397" s="23">
        <f t="shared" si="54"/>
        <v>0.6</v>
      </c>
      <c r="O397" s="24" t="s">
        <v>498</v>
      </c>
    </row>
    <row r="398" spans="1:15" s="3" customFormat="1" ht="29.25" customHeight="1" x14ac:dyDescent="0.45">
      <c r="A398" s="3" t="s">
        <v>345</v>
      </c>
      <c r="B398" s="47">
        <v>15</v>
      </c>
      <c r="C398" s="7" t="s">
        <v>730</v>
      </c>
      <c r="D398" s="8" t="s">
        <v>347</v>
      </c>
      <c r="E398" s="18">
        <v>100</v>
      </c>
      <c r="F398" s="18">
        <v>41</v>
      </c>
      <c r="G398" s="18">
        <v>10</v>
      </c>
      <c r="H398" s="18">
        <v>30</v>
      </c>
      <c r="I398" s="18">
        <v>6</v>
      </c>
      <c r="J398" s="18">
        <v>0</v>
      </c>
      <c r="K398" s="19">
        <f t="shared" si="52"/>
        <v>13</v>
      </c>
      <c r="L398" s="19">
        <v>8</v>
      </c>
      <c r="M398" s="19">
        <f t="shared" si="53"/>
        <v>5</v>
      </c>
      <c r="N398" s="23">
        <f t="shared" si="54"/>
        <v>0.61538461538461542</v>
      </c>
      <c r="O398" s="24" t="s">
        <v>498</v>
      </c>
    </row>
    <row r="399" spans="1:15" s="3" customFormat="1" ht="27.75" customHeight="1" x14ac:dyDescent="0.45">
      <c r="A399" s="3" t="s">
        <v>345</v>
      </c>
      <c r="B399" s="47">
        <v>16</v>
      </c>
      <c r="C399" s="7" t="s">
        <v>691</v>
      </c>
      <c r="D399" s="8" t="s">
        <v>172</v>
      </c>
      <c r="E399" s="18">
        <v>98</v>
      </c>
      <c r="F399" s="18">
        <v>40</v>
      </c>
      <c r="G399" s="18">
        <v>15</v>
      </c>
      <c r="H399" s="18">
        <v>30</v>
      </c>
      <c r="I399" s="18">
        <v>5</v>
      </c>
      <c r="J399" s="18">
        <v>0</v>
      </c>
      <c r="K399" s="19">
        <f t="shared" si="52"/>
        <v>8</v>
      </c>
      <c r="L399" s="19">
        <v>5</v>
      </c>
      <c r="M399" s="19">
        <f t="shared" si="53"/>
        <v>3</v>
      </c>
      <c r="N399" s="23">
        <f t="shared" si="54"/>
        <v>0.625</v>
      </c>
      <c r="O399" s="24" t="s">
        <v>498</v>
      </c>
    </row>
    <row r="400" spans="1:15" s="3" customFormat="1" ht="29.25" customHeight="1" x14ac:dyDescent="0.45">
      <c r="A400" s="3" t="s">
        <v>345</v>
      </c>
      <c r="B400" s="47">
        <v>17</v>
      </c>
      <c r="C400" s="7" t="s">
        <v>687</v>
      </c>
      <c r="D400" s="8" t="s">
        <v>183</v>
      </c>
      <c r="E400" s="18">
        <v>102</v>
      </c>
      <c r="F400" s="18">
        <f>40+10</f>
        <v>50</v>
      </c>
      <c r="G400" s="18">
        <f>10+5</f>
        <v>15</v>
      </c>
      <c r="H400" s="18">
        <v>20</v>
      </c>
      <c r="I400" s="18">
        <v>6</v>
      </c>
      <c r="J400" s="18">
        <v>0</v>
      </c>
      <c r="K400" s="19">
        <f t="shared" si="52"/>
        <v>11</v>
      </c>
      <c r="L400" s="19">
        <v>7</v>
      </c>
      <c r="M400" s="19">
        <f t="shared" si="53"/>
        <v>4</v>
      </c>
      <c r="N400" s="23">
        <f t="shared" si="54"/>
        <v>0.63636363636363635</v>
      </c>
      <c r="O400" s="24" t="s">
        <v>498</v>
      </c>
    </row>
    <row r="401" spans="1:15" s="3" customFormat="1" ht="29.25" customHeight="1" x14ac:dyDescent="0.45">
      <c r="A401" s="3" t="s">
        <v>345</v>
      </c>
      <c r="B401" s="47">
        <v>18</v>
      </c>
      <c r="C401" s="7" t="s">
        <v>698</v>
      </c>
      <c r="D401" s="8" t="s">
        <v>153</v>
      </c>
      <c r="E401" s="18">
        <v>103</v>
      </c>
      <c r="F401" s="18">
        <v>41</v>
      </c>
      <c r="G401" s="18">
        <v>20</v>
      </c>
      <c r="H401" s="18">
        <v>30</v>
      </c>
      <c r="I401" s="18">
        <v>6</v>
      </c>
      <c r="J401" s="18">
        <v>0</v>
      </c>
      <c r="K401" s="19">
        <f t="shared" si="52"/>
        <v>6</v>
      </c>
      <c r="L401" s="19">
        <v>4</v>
      </c>
      <c r="M401" s="19">
        <f t="shared" si="53"/>
        <v>2</v>
      </c>
      <c r="N401" s="23">
        <f t="shared" si="54"/>
        <v>0.66666666666666663</v>
      </c>
      <c r="O401" s="24" t="s">
        <v>498</v>
      </c>
    </row>
    <row r="402" spans="1:15" s="3" customFormat="1" ht="29.25" customHeight="1" x14ac:dyDescent="0.45">
      <c r="A402" s="3" t="s">
        <v>345</v>
      </c>
      <c r="B402" s="47">
        <v>19</v>
      </c>
      <c r="C402" s="7" t="s">
        <v>708</v>
      </c>
      <c r="D402" s="8" t="s">
        <v>159</v>
      </c>
      <c r="E402" s="18">
        <v>121</v>
      </c>
      <c r="F402" s="18">
        <v>40</v>
      </c>
      <c r="G402" s="18">
        <v>31</v>
      </c>
      <c r="H402" s="18">
        <v>35</v>
      </c>
      <c r="I402" s="18">
        <v>5</v>
      </c>
      <c r="J402" s="18">
        <v>0</v>
      </c>
      <c r="K402" s="19">
        <f t="shared" si="52"/>
        <v>10</v>
      </c>
      <c r="L402" s="19">
        <v>7</v>
      </c>
      <c r="M402" s="19">
        <f t="shared" si="53"/>
        <v>3</v>
      </c>
      <c r="N402" s="23">
        <f t="shared" si="54"/>
        <v>0.7</v>
      </c>
      <c r="O402" s="24" t="s">
        <v>498</v>
      </c>
    </row>
    <row r="403" spans="1:15" s="3" customFormat="1" ht="29.25" customHeight="1" x14ac:dyDescent="0.45">
      <c r="A403" s="3" t="s">
        <v>345</v>
      </c>
      <c r="B403" s="47">
        <v>20</v>
      </c>
      <c r="C403" s="7" t="s">
        <v>701</v>
      </c>
      <c r="D403" s="8" t="s">
        <v>178</v>
      </c>
      <c r="E403" s="18">
        <v>100</v>
      </c>
      <c r="F403" s="18">
        <v>40</v>
      </c>
      <c r="G403" s="18">
        <v>15</v>
      </c>
      <c r="H403" s="18">
        <v>30</v>
      </c>
      <c r="I403" s="18">
        <v>5</v>
      </c>
      <c r="J403" s="18">
        <v>0</v>
      </c>
      <c r="K403" s="19">
        <f t="shared" si="52"/>
        <v>10</v>
      </c>
      <c r="L403" s="19">
        <v>7</v>
      </c>
      <c r="M403" s="19">
        <f t="shared" si="53"/>
        <v>3</v>
      </c>
      <c r="N403" s="23">
        <f t="shared" si="54"/>
        <v>0.7</v>
      </c>
      <c r="O403" s="24" t="s">
        <v>498</v>
      </c>
    </row>
    <row r="404" spans="1:15" s="3" customFormat="1" ht="29.25" customHeight="1" x14ac:dyDescent="0.45">
      <c r="A404" s="3" t="s">
        <v>345</v>
      </c>
      <c r="B404" s="47">
        <v>21</v>
      </c>
      <c r="C404" s="7" t="s">
        <v>702</v>
      </c>
      <c r="D404" s="8" t="s">
        <v>352</v>
      </c>
      <c r="E404" s="18">
        <v>103</v>
      </c>
      <c r="F404" s="18">
        <v>40</v>
      </c>
      <c r="G404" s="18">
        <f>10+5</f>
        <v>15</v>
      </c>
      <c r="H404" s="18">
        <v>31</v>
      </c>
      <c r="I404" s="18">
        <v>5</v>
      </c>
      <c r="J404" s="18">
        <v>0</v>
      </c>
      <c r="K404" s="19">
        <f t="shared" si="52"/>
        <v>12</v>
      </c>
      <c r="L404" s="19">
        <v>9</v>
      </c>
      <c r="M404" s="19">
        <f t="shared" si="53"/>
        <v>3</v>
      </c>
      <c r="N404" s="23">
        <f t="shared" si="54"/>
        <v>0.75</v>
      </c>
      <c r="O404" s="24" t="s">
        <v>498</v>
      </c>
    </row>
    <row r="405" spans="1:15" s="3" customFormat="1" ht="29.25" customHeight="1" x14ac:dyDescent="0.45">
      <c r="A405" s="3" t="s">
        <v>345</v>
      </c>
      <c r="B405" s="47">
        <v>22</v>
      </c>
      <c r="C405" s="7" t="s">
        <v>705</v>
      </c>
      <c r="D405" s="8" t="s">
        <v>157</v>
      </c>
      <c r="E405" s="18">
        <v>103</v>
      </c>
      <c r="F405" s="18">
        <v>41</v>
      </c>
      <c r="G405" s="18">
        <v>15</v>
      </c>
      <c r="H405" s="18">
        <v>30</v>
      </c>
      <c r="I405" s="18">
        <v>5</v>
      </c>
      <c r="J405" s="18">
        <v>0</v>
      </c>
      <c r="K405" s="19">
        <f t="shared" si="52"/>
        <v>12</v>
      </c>
      <c r="L405" s="19">
        <v>9</v>
      </c>
      <c r="M405" s="19">
        <f t="shared" si="53"/>
        <v>3</v>
      </c>
      <c r="N405" s="23">
        <f t="shared" si="54"/>
        <v>0.75</v>
      </c>
      <c r="O405" s="24" t="s">
        <v>498</v>
      </c>
    </row>
    <row r="406" spans="1:15" s="3" customFormat="1" ht="29.25" customHeight="1" x14ac:dyDescent="0.45">
      <c r="A406" s="3" t="s">
        <v>345</v>
      </c>
      <c r="B406" s="47">
        <v>23</v>
      </c>
      <c r="C406" s="7" t="s">
        <v>693</v>
      </c>
      <c r="D406" s="8" t="s">
        <v>158</v>
      </c>
      <c r="E406" s="18">
        <v>90</v>
      </c>
      <c r="F406" s="18">
        <v>30</v>
      </c>
      <c r="G406" s="18">
        <v>10</v>
      </c>
      <c r="H406" s="18">
        <v>20</v>
      </c>
      <c r="I406" s="18">
        <v>5</v>
      </c>
      <c r="J406" s="18">
        <v>0</v>
      </c>
      <c r="K406" s="19">
        <f t="shared" si="52"/>
        <v>25</v>
      </c>
      <c r="L406" s="19">
        <v>19</v>
      </c>
      <c r="M406" s="19">
        <f t="shared" si="53"/>
        <v>6</v>
      </c>
      <c r="N406" s="25">
        <f t="shared" si="54"/>
        <v>0.76</v>
      </c>
      <c r="O406" s="26" t="s">
        <v>495</v>
      </c>
    </row>
    <row r="407" spans="1:15" s="3" customFormat="1" ht="29.25" customHeight="1" x14ac:dyDescent="0.45">
      <c r="A407" s="3" t="s">
        <v>345</v>
      </c>
      <c r="B407" s="47">
        <v>24</v>
      </c>
      <c r="C407" s="7" t="s">
        <v>704</v>
      </c>
      <c r="D407" s="8" t="s">
        <v>162</v>
      </c>
      <c r="E407" s="18">
        <f>100+20+20</f>
        <v>140</v>
      </c>
      <c r="F407" s="18">
        <v>40</v>
      </c>
      <c r="G407" s="18">
        <v>49</v>
      </c>
      <c r="H407" s="18">
        <v>30</v>
      </c>
      <c r="I407" s="18">
        <v>6</v>
      </c>
      <c r="J407" s="18">
        <v>0</v>
      </c>
      <c r="K407" s="19">
        <f t="shared" si="52"/>
        <v>15</v>
      </c>
      <c r="L407" s="19">
        <v>12</v>
      </c>
      <c r="M407" s="19">
        <f t="shared" si="53"/>
        <v>3</v>
      </c>
      <c r="N407" s="25">
        <f t="shared" si="54"/>
        <v>0.8</v>
      </c>
      <c r="O407" s="26" t="s">
        <v>495</v>
      </c>
    </row>
    <row r="408" spans="1:15" s="3" customFormat="1" ht="29.25" customHeight="1" x14ac:dyDescent="0.45">
      <c r="A408" s="3" t="s">
        <v>345</v>
      </c>
      <c r="B408" s="47">
        <v>25</v>
      </c>
      <c r="C408" s="7" t="s">
        <v>699</v>
      </c>
      <c r="D408" s="8" t="s">
        <v>163</v>
      </c>
      <c r="E408" s="18">
        <v>101</v>
      </c>
      <c r="F408" s="18">
        <v>40</v>
      </c>
      <c r="G408" s="18">
        <v>19</v>
      </c>
      <c r="H408" s="18">
        <v>30</v>
      </c>
      <c r="I408" s="18">
        <v>6</v>
      </c>
      <c r="J408" s="18">
        <v>0</v>
      </c>
      <c r="K408" s="19">
        <f t="shared" si="52"/>
        <v>6</v>
      </c>
      <c r="L408" s="19">
        <v>5</v>
      </c>
      <c r="M408" s="19">
        <f t="shared" si="53"/>
        <v>1</v>
      </c>
      <c r="N408" s="25">
        <f t="shared" si="54"/>
        <v>0.83333333333333337</v>
      </c>
      <c r="O408" s="26" t="s">
        <v>495</v>
      </c>
    </row>
    <row r="409" spans="1:15" s="3" customFormat="1" ht="29.25" customHeight="1" x14ac:dyDescent="0.45">
      <c r="A409" s="3" t="s">
        <v>345</v>
      </c>
      <c r="B409" s="47">
        <v>26</v>
      </c>
      <c r="C409" s="7" t="s">
        <v>697</v>
      </c>
      <c r="D409" s="8" t="s">
        <v>346</v>
      </c>
      <c r="E409" s="18">
        <v>105</v>
      </c>
      <c r="F409" s="18">
        <v>40</v>
      </c>
      <c r="G409" s="18">
        <v>15</v>
      </c>
      <c r="H409" s="18">
        <v>31</v>
      </c>
      <c r="I409" s="18">
        <v>6</v>
      </c>
      <c r="J409" s="18">
        <v>0</v>
      </c>
      <c r="K409" s="19">
        <f t="shared" si="52"/>
        <v>13</v>
      </c>
      <c r="L409" s="19">
        <v>11</v>
      </c>
      <c r="M409" s="19">
        <f t="shared" si="53"/>
        <v>2</v>
      </c>
      <c r="N409" s="25">
        <f t="shared" si="54"/>
        <v>0.84615384615384615</v>
      </c>
      <c r="O409" s="26" t="s">
        <v>495</v>
      </c>
    </row>
    <row r="410" spans="1:15" s="3" customFormat="1" ht="29.25" customHeight="1" x14ac:dyDescent="0.45">
      <c r="A410" s="3" t="s">
        <v>345</v>
      </c>
      <c r="B410" s="47">
        <v>27</v>
      </c>
      <c r="C410" s="7" t="s">
        <v>696</v>
      </c>
      <c r="D410" s="8" t="s">
        <v>156</v>
      </c>
      <c r="E410" s="18">
        <v>103</v>
      </c>
      <c r="F410" s="18">
        <v>40</v>
      </c>
      <c r="G410" s="18">
        <v>18</v>
      </c>
      <c r="H410" s="18">
        <v>31</v>
      </c>
      <c r="I410" s="18">
        <v>6</v>
      </c>
      <c r="J410" s="18">
        <v>0</v>
      </c>
      <c r="K410" s="19">
        <f t="shared" si="52"/>
        <v>8</v>
      </c>
      <c r="L410" s="19">
        <v>7</v>
      </c>
      <c r="M410" s="19">
        <f t="shared" si="53"/>
        <v>1</v>
      </c>
      <c r="N410" s="25">
        <f t="shared" si="54"/>
        <v>0.875</v>
      </c>
      <c r="O410" s="26" t="s">
        <v>495</v>
      </c>
    </row>
    <row r="411" spans="1:15" s="3" customFormat="1" ht="29.25" customHeight="1" x14ac:dyDescent="0.45">
      <c r="A411" s="3" t="s">
        <v>345</v>
      </c>
      <c r="B411" s="47">
        <v>28</v>
      </c>
      <c r="C411" s="7" t="s">
        <v>711</v>
      </c>
      <c r="D411" s="8" t="s">
        <v>160</v>
      </c>
      <c r="E411" s="18">
        <v>140</v>
      </c>
      <c r="F411" s="18">
        <v>40</v>
      </c>
      <c r="G411" s="18">
        <v>55</v>
      </c>
      <c r="H411" s="18">
        <v>30</v>
      </c>
      <c r="I411" s="18">
        <v>3</v>
      </c>
      <c r="J411" s="18">
        <v>0</v>
      </c>
      <c r="K411" s="19">
        <f t="shared" si="52"/>
        <v>12</v>
      </c>
      <c r="L411" s="19">
        <v>12</v>
      </c>
      <c r="M411" s="19">
        <f t="shared" si="53"/>
        <v>0</v>
      </c>
      <c r="N411" s="27">
        <f t="shared" si="54"/>
        <v>1</v>
      </c>
      <c r="O411" s="28" t="s">
        <v>499</v>
      </c>
    </row>
    <row r="412" spans="1:15" s="3" customFormat="1" ht="29.25" customHeight="1" x14ac:dyDescent="0.45">
      <c r="A412" s="3" t="s">
        <v>345</v>
      </c>
      <c r="B412" s="47">
        <v>29</v>
      </c>
      <c r="C412" s="7" t="s">
        <v>706</v>
      </c>
      <c r="D412" s="8" t="s">
        <v>169</v>
      </c>
      <c r="E412" s="18">
        <v>100</v>
      </c>
      <c r="F412" s="18">
        <v>41</v>
      </c>
      <c r="G412" s="18">
        <v>10</v>
      </c>
      <c r="H412" s="18">
        <v>30</v>
      </c>
      <c r="I412" s="18">
        <v>5</v>
      </c>
      <c r="J412" s="18">
        <v>0</v>
      </c>
      <c r="K412" s="19">
        <f t="shared" si="52"/>
        <v>14</v>
      </c>
      <c r="L412" s="19">
        <f>7+1+1+2+3</f>
        <v>14</v>
      </c>
      <c r="M412" s="19">
        <f t="shared" si="53"/>
        <v>0</v>
      </c>
      <c r="N412" s="27">
        <f t="shared" si="54"/>
        <v>1</v>
      </c>
      <c r="O412" s="28" t="s">
        <v>499</v>
      </c>
    </row>
    <row r="413" spans="1:15" s="3" customFormat="1" ht="29.25" customHeight="1" x14ac:dyDescent="0.45">
      <c r="A413" s="3" t="s">
        <v>345</v>
      </c>
      <c r="B413" s="47">
        <v>30</v>
      </c>
      <c r="C413" s="7" t="s">
        <v>707</v>
      </c>
      <c r="D413" s="8" t="s">
        <v>168</v>
      </c>
      <c r="E413" s="18">
        <v>100</v>
      </c>
      <c r="F413" s="18">
        <v>41</v>
      </c>
      <c r="G413" s="18">
        <v>10</v>
      </c>
      <c r="H413" s="18">
        <v>30</v>
      </c>
      <c r="I413" s="18">
        <v>5</v>
      </c>
      <c r="J413" s="18">
        <v>0</v>
      </c>
      <c r="K413" s="19">
        <f t="shared" si="52"/>
        <v>14</v>
      </c>
      <c r="L413" s="19">
        <f>8+3+2+1</f>
        <v>14</v>
      </c>
      <c r="M413" s="19">
        <f t="shared" si="53"/>
        <v>0</v>
      </c>
      <c r="N413" s="27">
        <f t="shared" si="54"/>
        <v>1</v>
      </c>
      <c r="O413" s="28" t="s">
        <v>499</v>
      </c>
    </row>
    <row r="414" spans="1:15" s="3" customFormat="1" ht="29.25" customHeight="1" x14ac:dyDescent="0.45">
      <c r="A414" s="3" t="s">
        <v>345</v>
      </c>
      <c r="B414" s="47">
        <v>31</v>
      </c>
      <c r="C414" s="7" t="s">
        <v>710</v>
      </c>
      <c r="D414" s="8" t="s">
        <v>167</v>
      </c>
      <c r="E414" s="18">
        <v>99</v>
      </c>
      <c r="F414" s="18">
        <v>40</v>
      </c>
      <c r="G414" s="18">
        <v>16</v>
      </c>
      <c r="H414" s="18">
        <v>30</v>
      </c>
      <c r="I414" s="18">
        <v>5</v>
      </c>
      <c r="J414" s="18">
        <v>0</v>
      </c>
      <c r="K414" s="19">
        <f t="shared" si="52"/>
        <v>8</v>
      </c>
      <c r="L414" s="19">
        <f>6+2</f>
        <v>8</v>
      </c>
      <c r="M414" s="19">
        <f t="shared" si="53"/>
        <v>0</v>
      </c>
      <c r="N414" s="27">
        <f t="shared" si="54"/>
        <v>1</v>
      </c>
      <c r="O414" s="28" t="s">
        <v>499</v>
      </c>
    </row>
    <row r="415" spans="1:15" s="3" customFormat="1" ht="29.25" customHeight="1" x14ac:dyDescent="0.45">
      <c r="A415" s="3" t="s">
        <v>345</v>
      </c>
      <c r="B415" s="47">
        <v>32</v>
      </c>
      <c r="C415" s="7" t="s">
        <v>712</v>
      </c>
      <c r="D415" s="8" t="s">
        <v>163</v>
      </c>
      <c r="E415" s="18">
        <v>75</v>
      </c>
      <c r="F415" s="18">
        <v>40</v>
      </c>
      <c r="G415" s="18">
        <v>0</v>
      </c>
      <c r="H415" s="18">
        <v>30</v>
      </c>
      <c r="I415" s="18">
        <v>2</v>
      </c>
      <c r="J415" s="18">
        <v>0</v>
      </c>
      <c r="K415" s="19">
        <f t="shared" si="52"/>
        <v>3</v>
      </c>
      <c r="L415" s="19">
        <v>3</v>
      </c>
      <c r="M415" s="19">
        <f t="shared" si="53"/>
        <v>0</v>
      </c>
      <c r="N415" s="27">
        <f t="shared" si="54"/>
        <v>1</v>
      </c>
      <c r="O415" s="28" t="s">
        <v>499</v>
      </c>
    </row>
    <row r="416" spans="1:15" s="3" customFormat="1" ht="29.25" customHeight="1" x14ac:dyDescent="0.45">
      <c r="A416" s="3" t="s">
        <v>1066</v>
      </c>
      <c r="B416" s="47">
        <v>4</v>
      </c>
      <c r="C416" s="7" t="s">
        <v>1113</v>
      </c>
      <c r="D416" s="8" t="s">
        <v>365</v>
      </c>
      <c r="E416" s="18">
        <v>140</v>
      </c>
      <c r="F416" s="18">
        <f>40+10</f>
        <v>50</v>
      </c>
      <c r="G416" s="18">
        <v>0</v>
      </c>
      <c r="H416" s="18">
        <v>20</v>
      </c>
      <c r="I416" s="18">
        <v>6</v>
      </c>
      <c r="J416" s="18">
        <v>0</v>
      </c>
      <c r="K416" s="19">
        <f t="shared" ref="K416:K427" si="55">E416-F416-G416-H416-I416-J416</f>
        <v>64</v>
      </c>
      <c r="L416" s="19">
        <v>23</v>
      </c>
      <c r="M416" s="19">
        <f t="shared" ref="M416:M436" si="56">K416-L416</f>
        <v>41</v>
      </c>
      <c r="N416" s="20">
        <f t="shared" ref="N416:N436" si="57">L416/K416</f>
        <v>0.359375</v>
      </c>
      <c r="O416" s="22" t="s">
        <v>497</v>
      </c>
    </row>
    <row r="417" spans="1:15" s="3" customFormat="1" ht="29.25" customHeight="1" x14ac:dyDescent="0.45">
      <c r="A417" s="3" t="s">
        <v>1066</v>
      </c>
      <c r="B417" s="47">
        <v>5</v>
      </c>
      <c r="C417" s="7" t="s">
        <v>1131</v>
      </c>
      <c r="D417" s="8" t="s">
        <v>886</v>
      </c>
      <c r="E417" s="18">
        <f>20+10</f>
        <v>30</v>
      </c>
      <c r="F417" s="18">
        <v>0</v>
      </c>
      <c r="G417" s="18">
        <v>0</v>
      </c>
      <c r="H417" s="18">
        <v>0</v>
      </c>
      <c r="I417" s="18">
        <v>0</v>
      </c>
      <c r="J417" s="18">
        <v>0</v>
      </c>
      <c r="K417" s="19">
        <f t="shared" si="55"/>
        <v>30</v>
      </c>
      <c r="L417" s="19">
        <v>12</v>
      </c>
      <c r="M417" s="19">
        <f t="shared" si="56"/>
        <v>18</v>
      </c>
      <c r="N417" s="20">
        <f t="shared" si="57"/>
        <v>0.4</v>
      </c>
      <c r="O417" s="22" t="s">
        <v>497</v>
      </c>
    </row>
    <row r="418" spans="1:15" s="3" customFormat="1" ht="27.6" customHeight="1" x14ac:dyDescent="0.45">
      <c r="A418" s="3" t="s">
        <v>1066</v>
      </c>
      <c r="B418" s="47">
        <v>6</v>
      </c>
      <c r="C418" s="7" t="s">
        <v>1114</v>
      </c>
      <c r="D418" s="8" t="s">
        <v>364</v>
      </c>
      <c r="E418" s="18">
        <v>129</v>
      </c>
      <c r="F418" s="18">
        <f>40+10</f>
        <v>50</v>
      </c>
      <c r="G418" s="18">
        <v>10</v>
      </c>
      <c r="H418" s="18">
        <v>16</v>
      </c>
      <c r="I418" s="18">
        <v>6</v>
      </c>
      <c r="J418" s="18">
        <v>0</v>
      </c>
      <c r="K418" s="19">
        <f t="shared" si="55"/>
        <v>47</v>
      </c>
      <c r="L418" s="19">
        <v>20</v>
      </c>
      <c r="M418" s="19">
        <f t="shared" si="56"/>
        <v>27</v>
      </c>
      <c r="N418" s="20">
        <f t="shared" si="57"/>
        <v>0.42553191489361702</v>
      </c>
      <c r="O418" s="22" t="s">
        <v>497</v>
      </c>
    </row>
    <row r="419" spans="1:15" s="3" customFormat="1" ht="29.25" customHeight="1" x14ac:dyDescent="0.45">
      <c r="A419" s="3" t="s">
        <v>1066</v>
      </c>
      <c r="B419" s="47">
        <v>7</v>
      </c>
      <c r="C419" s="7" t="s">
        <v>1141</v>
      </c>
      <c r="D419" s="8" t="s">
        <v>356</v>
      </c>
      <c r="E419" s="18">
        <f>99+30</f>
        <v>129</v>
      </c>
      <c r="F419" s="18">
        <v>51</v>
      </c>
      <c r="G419" s="18">
        <v>15</v>
      </c>
      <c r="H419" s="18">
        <v>20</v>
      </c>
      <c r="I419" s="18">
        <v>6</v>
      </c>
      <c r="J419" s="18">
        <v>0</v>
      </c>
      <c r="K419" s="19">
        <f t="shared" si="55"/>
        <v>37</v>
      </c>
      <c r="L419" s="19">
        <v>16</v>
      </c>
      <c r="M419" s="19">
        <f t="shared" si="56"/>
        <v>21</v>
      </c>
      <c r="N419" s="20">
        <f t="shared" si="57"/>
        <v>0.43243243243243246</v>
      </c>
      <c r="O419" s="22" t="s">
        <v>497</v>
      </c>
    </row>
    <row r="420" spans="1:15" s="3" customFormat="1" ht="29.25" customHeight="1" x14ac:dyDescent="0.45">
      <c r="A420" s="3" t="s">
        <v>1066</v>
      </c>
      <c r="B420" s="47">
        <v>8</v>
      </c>
      <c r="C420" s="7" t="s">
        <v>1138</v>
      </c>
      <c r="D420" s="8" t="s">
        <v>359</v>
      </c>
      <c r="E420" s="18">
        <v>89</v>
      </c>
      <c r="F420" s="18">
        <v>21</v>
      </c>
      <c r="G420" s="18">
        <v>10</v>
      </c>
      <c r="H420" s="18">
        <v>10</v>
      </c>
      <c r="I420" s="18">
        <v>7</v>
      </c>
      <c r="J420" s="18">
        <v>0</v>
      </c>
      <c r="K420" s="19">
        <f t="shared" si="55"/>
        <v>41</v>
      </c>
      <c r="L420" s="19">
        <v>18</v>
      </c>
      <c r="M420" s="19">
        <f t="shared" si="56"/>
        <v>23</v>
      </c>
      <c r="N420" s="20">
        <f t="shared" si="57"/>
        <v>0.43902439024390244</v>
      </c>
      <c r="O420" s="22" t="s">
        <v>497</v>
      </c>
    </row>
    <row r="421" spans="1:15" s="3" customFormat="1" ht="29.25" customHeight="1" x14ac:dyDescent="0.45">
      <c r="A421" s="3" t="s">
        <v>1066</v>
      </c>
      <c r="B421" s="47">
        <v>9</v>
      </c>
      <c r="C421" s="7" t="s">
        <v>1137</v>
      </c>
      <c r="D421" s="8" t="s">
        <v>358</v>
      </c>
      <c r="E421" s="18">
        <v>128</v>
      </c>
      <c r="F421" s="18">
        <v>51</v>
      </c>
      <c r="G421" s="18">
        <v>15</v>
      </c>
      <c r="H421" s="18">
        <v>15</v>
      </c>
      <c r="I421" s="18">
        <v>7</v>
      </c>
      <c r="J421" s="18">
        <v>0</v>
      </c>
      <c r="K421" s="19">
        <f t="shared" si="55"/>
        <v>40</v>
      </c>
      <c r="L421" s="19">
        <v>18</v>
      </c>
      <c r="M421" s="19">
        <f t="shared" si="56"/>
        <v>22</v>
      </c>
      <c r="N421" s="20">
        <f t="shared" si="57"/>
        <v>0.45</v>
      </c>
      <c r="O421" s="22" t="s">
        <v>497</v>
      </c>
    </row>
    <row r="422" spans="1:15" s="3" customFormat="1" ht="29.25" customHeight="1" x14ac:dyDescent="0.45">
      <c r="A422" s="3" t="s">
        <v>1066</v>
      </c>
      <c r="B422" s="47">
        <v>10</v>
      </c>
      <c r="C422" s="14" t="s">
        <v>1136</v>
      </c>
      <c r="D422" s="15" t="s">
        <v>363</v>
      </c>
      <c r="E422" s="39">
        <f>97+20</f>
        <v>117</v>
      </c>
      <c r="F422" s="39">
        <f>41+10</f>
        <v>51</v>
      </c>
      <c r="G422" s="39">
        <v>10</v>
      </c>
      <c r="H422" s="39">
        <v>15</v>
      </c>
      <c r="I422" s="39">
        <v>6</v>
      </c>
      <c r="J422" s="39">
        <v>0</v>
      </c>
      <c r="K422" s="19">
        <f t="shared" si="55"/>
        <v>35</v>
      </c>
      <c r="L422" s="40">
        <v>16</v>
      </c>
      <c r="M422" s="19">
        <f t="shared" si="56"/>
        <v>19</v>
      </c>
      <c r="N422" s="62">
        <f t="shared" si="57"/>
        <v>0.45714285714285713</v>
      </c>
      <c r="O422" s="73" t="s">
        <v>497</v>
      </c>
    </row>
    <row r="423" spans="1:15" s="3" customFormat="1" ht="29.25" customHeight="1" x14ac:dyDescent="0.45">
      <c r="A423" s="3" t="s">
        <v>1066</v>
      </c>
      <c r="B423" s="47">
        <v>11</v>
      </c>
      <c r="C423" s="14" t="s">
        <v>1117</v>
      </c>
      <c r="D423" s="15" t="s">
        <v>374</v>
      </c>
      <c r="E423" s="39">
        <f>43+20+10</f>
        <v>73</v>
      </c>
      <c r="F423" s="39">
        <v>20</v>
      </c>
      <c r="G423" s="39">
        <v>10</v>
      </c>
      <c r="H423" s="39">
        <v>5</v>
      </c>
      <c r="I423" s="39">
        <v>5</v>
      </c>
      <c r="J423" s="39">
        <v>0</v>
      </c>
      <c r="K423" s="19">
        <f t="shared" si="55"/>
        <v>33</v>
      </c>
      <c r="L423" s="40">
        <v>17</v>
      </c>
      <c r="M423" s="19">
        <f t="shared" si="56"/>
        <v>16</v>
      </c>
      <c r="N423" s="68">
        <f t="shared" si="57"/>
        <v>0.51515151515151514</v>
      </c>
      <c r="O423" s="69" t="s">
        <v>498</v>
      </c>
    </row>
    <row r="424" spans="1:15" s="3" customFormat="1" ht="29.25" customHeight="1" x14ac:dyDescent="0.45">
      <c r="A424" s="3" t="s">
        <v>1066</v>
      </c>
      <c r="B424" s="47">
        <v>12</v>
      </c>
      <c r="C424" s="14" t="s">
        <v>1132</v>
      </c>
      <c r="D424" s="15" t="s">
        <v>373</v>
      </c>
      <c r="E424" s="39">
        <f>98+30</f>
        <v>128</v>
      </c>
      <c r="F424" s="39">
        <f>40+10</f>
        <v>50</v>
      </c>
      <c r="G424" s="39">
        <v>10</v>
      </c>
      <c r="H424" s="39">
        <f>10+10</f>
        <v>20</v>
      </c>
      <c r="I424" s="39">
        <v>5</v>
      </c>
      <c r="J424" s="39">
        <v>0</v>
      </c>
      <c r="K424" s="19">
        <f t="shared" si="55"/>
        <v>43</v>
      </c>
      <c r="L424" s="40">
        <v>23</v>
      </c>
      <c r="M424" s="19">
        <f t="shared" si="56"/>
        <v>20</v>
      </c>
      <c r="N424" s="68">
        <f t="shared" si="57"/>
        <v>0.53488372093023251</v>
      </c>
      <c r="O424" s="69" t="s">
        <v>498</v>
      </c>
    </row>
    <row r="425" spans="1:15" s="3" customFormat="1" ht="29.25" customHeight="1" x14ac:dyDescent="0.45">
      <c r="A425" s="3" t="s">
        <v>1066</v>
      </c>
      <c r="B425" s="47">
        <v>13</v>
      </c>
      <c r="C425" s="14" t="s">
        <v>1140</v>
      </c>
      <c r="D425" s="15" t="s">
        <v>490</v>
      </c>
      <c r="E425" s="39">
        <v>85</v>
      </c>
      <c r="F425" s="39">
        <v>20</v>
      </c>
      <c r="G425" s="39">
        <v>18</v>
      </c>
      <c r="H425" s="39">
        <v>5</v>
      </c>
      <c r="I425" s="39">
        <v>5</v>
      </c>
      <c r="J425" s="39">
        <v>0</v>
      </c>
      <c r="K425" s="19">
        <f t="shared" si="55"/>
        <v>37</v>
      </c>
      <c r="L425" s="40">
        <v>20</v>
      </c>
      <c r="M425" s="19">
        <f t="shared" si="56"/>
        <v>17</v>
      </c>
      <c r="N425" s="68">
        <f t="shared" si="57"/>
        <v>0.54054054054054057</v>
      </c>
      <c r="O425" s="69" t="s">
        <v>498</v>
      </c>
    </row>
    <row r="426" spans="1:15" s="3" customFormat="1" ht="29.25" customHeight="1" x14ac:dyDescent="0.45">
      <c r="A426" s="3" t="s">
        <v>1066</v>
      </c>
      <c r="B426" s="47">
        <v>14</v>
      </c>
      <c r="C426" s="14" t="s">
        <v>1142</v>
      </c>
      <c r="D426" s="84" t="s">
        <v>356</v>
      </c>
      <c r="E426" s="39">
        <f>98+20+10</f>
        <v>128</v>
      </c>
      <c r="F426" s="39">
        <v>50</v>
      </c>
      <c r="G426" s="39">
        <v>16</v>
      </c>
      <c r="H426" s="39">
        <v>20</v>
      </c>
      <c r="I426" s="39">
        <v>7</v>
      </c>
      <c r="J426" s="39">
        <v>0</v>
      </c>
      <c r="K426" s="19">
        <f t="shared" si="55"/>
        <v>35</v>
      </c>
      <c r="L426" s="40">
        <v>19</v>
      </c>
      <c r="M426" s="19">
        <f t="shared" si="56"/>
        <v>16</v>
      </c>
      <c r="N426" s="68">
        <f t="shared" si="57"/>
        <v>0.54285714285714282</v>
      </c>
      <c r="O426" s="69" t="s">
        <v>498</v>
      </c>
    </row>
    <row r="427" spans="1:15" s="3" customFormat="1" ht="29.25" customHeight="1" x14ac:dyDescent="0.45">
      <c r="A427" s="3" t="s">
        <v>1066</v>
      </c>
      <c r="B427" s="47">
        <v>15</v>
      </c>
      <c r="C427" s="14" t="s">
        <v>1115</v>
      </c>
      <c r="D427" s="15" t="s">
        <v>477</v>
      </c>
      <c r="E427" s="39">
        <f>20+20</f>
        <v>40</v>
      </c>
      <c r="F427" s="39">
        <v>0</v>
      </c>
      <c r="G427" s="39">
        <v>0</v>
      </c>
      <c r="H427" s="39">
        <v>0</v>
      </c>
      <c r="I427" s="39">
        <v>0</v>
      </c>
      <c r="J427" s="39">
        <v>0</v>
      </c>
      <c r="K427" s="19">
        <f t="shared" si="55"/>
        <v>40</v>
      </c>
      <c r="L427" s="40">
        <v>24</v>
      </c>
      <c r="M427" s="19">
        <f t="shared" si="56"/>
        <v>16</v>
      </c>
      <c r="N427" s="68">
        <f t="shared" si="57"/>
        <v>0.6</v>
      </c>
      <c r="O427" s="69" t="s">
        <v>498</v>
      </c>
    </row>
    <row r="428" spans="1:15" s="3" customFormat="1" ht="29.25" customHeight="1" x14ac:dyDescent="0.45">
      <c r="A428" s="3" t="s">
        <v>1066</v>
      </c>
      <c r="B428" s="47">
        <v>16</v>
      </c>
      <c r="C428" s="14" t="s">
        <v>1116</v>
      </c>
      <c r="D428" s="15" t="s">
        <v>882</v>
      </c>
      <c r="E428" s="39">
        <f>20+20</f>
        <v>40</v>
      </c>
      <c r="F428" s="39">
        <v>0</v>
      </c>
      <c r="G428" s="39">
        <v>10</v>
      </c>
      <c r="H428" s="39">
        <v>5</v>
      </c>
      <c r="I428" s="39">
        <v>0</v>
      </c>
      <c r="J428" s="39">
        <v>0</v>
      </c>
      <c r="K428" s="19">
        <v>25</v>
      </c>
      <c r="L428" s="40">
        <v>14</v>
      </c>
      <c r="M428" s="19">
        <f t="shared" si="56"/>
        <v>11</v>
      </c>
      <c r="N428" s="68">
        <f t="shared" si="57"/>
        <v>0.56000000000000005</v>
      </c>
      <c r="O428" s="69" t="s">
        <v>498</v>
      </c>
    </row>
    <row r="429" spans="1:15" s="3" customFormat="1" ht="29.25" customHeight="1" x14ac:dyDescent="0.45">
      <c r="A429" s="3" t="s">
        <v>1066</v>
      </c>
      <c r="B429" s="47">
        <v>17</v>
      </c>
      <c r="C429" s="14" t="s">
        <v>1112</v>
      </c>
      <c r="D429" s="15" t="s">
        <v>360</v>
      </c>
      <c r="E429" s="39">
        <f>99+30</f>
        <v>129</v>
      </c>
      <c r="F429" s="39">
        <v>65</v>
      </c>
      <c r="G429" s="39">
        <v>10</v>
      </c>
      <c r="H429" s="39">
        <v>15</v>
      </c>
      <c r="I429" s="39">
        <v>7</v>
      </c>
      <c r="J429" s="39">
        <v>0</v>
      </c>
      <c r="K429" s="19">
        <f t="shared" ref="K429:K436" si="58">E429-F429-G429-H429-I429-J429</f>
        <v>32</v>
      </c>
      <c r="L429" s="40">
        <v>18</v>
      </c>
      <c r="M429" s="19">
        <f t="shared" si="56"/>
        <v>14</v>
      </c>
      <c r="N429" s="68">
        <f t="shared" si="57"/>
        <v>0.5625</v>
      </c>
      <c r="O429" s="69" t="s">
        <v>498</v>
      </c>
    </row>
    <row r="430" spans="1:15" s="3" customFormat="1" ht="29.25" customHeight="1" x14ac:dyDescent="0.45">
      <c r="A430" s="3" t="s">
        <v>1066</v>
      </c>
      <c r="B430" s="47">
        <v>18</v>
      </c>
      <c r="C430" s="14" t="s">
        <v>1135</v>
      </c>
      <c r="D430" s="15" t="s">
        <v>887</v>
      </c>
      <c r="E430" s="39">
        <f>20+10</f>
        <v>30</v>
      </c>
      <c r="F430" s="39">
        <v>0</v>
      </c>
      <c r="G430" s="39">
        <v>5</v>
      </c>
      <c r="H430" s="39">
        <v>5</v>
      </c>
      <c r="I430" s="39">
        <v>0</v>
      </c>
      <c r="J430" s="39">
        <v>0</v>
      </c>
      <c r="K430" s="19">
        <f t="shared" si="58"/>
        <v>20</v>
      </c>
      <c r="L430" s="40">
        <v>12</v>
      </c>
      <c r="M430" s="19">
        <f t="shared" si="56"/>
        <v>8</v>
      </c>
      <c r="N430" s="68">
        <f t="shared" si="57"/>
        <v>0.6</v>
      </c>
      <c r="O430" s="69" t="s">
        <v>498</v>
      </c>
    </row>
    <row r="431" spans="1:15" s="3" customFormat="1" ht="29.25" customHeight="1" x14ac:dyDescent="0.45">
      <c r="A431" s="3" t="s">
        <v>1066</v>
      </c>
      <c r="B431" s="47">
        <v>19</v>
      </c>
      <c r="C431" s="14" t="s">
        <v>1139</v>
      </c>
      <c r="D431" s="15" t="s">
        <v>489</v>
      </c>
      <c r="E431" s="39">
        <v>129</v>
      </c>
      <c r="F431" s="39">
        <f>40+20</f>
        <v>60</v>
      </c>
      <c r="G431" s="39">
        <v>20</v>
      </c>
      <c r="H431" s="39">
        <v>10</v>
      </c>
      <c r="I431" s="39">
        <v>5</v>
      </c>
      <c r="J431" s="39">
        <v>0</v>
      </c>
      <c r="K431" s="19">
        <f t="shared" si="58"/>
        <v>34</v>
      </c>
      <c r="L431" s="40">
        <v>22</v>
      </c>
      <c r="M431" s="19">
        <f t="shared" si="56"/>
        <v>12</v>
      </c>
      <c r="N431" s="68">
        <f t="shared" si="57"/>
        <v>0.6470588235294118</v>
      </c>
      <c r="O431" s="69" t="s">
        <v>498</v>
      </c>
    </row>
    <row r="432" spans="1:15" s="3" customFormat="1" ht="29.25" customHeight="1" x14ac:dyDescent="0.45">
      <c r="A432" s="3" t="s">
        <v>1066</v>
      </c>
      <c r="B432" s="47">
        <v>20</v>
      </c>
      <c r="C432" s="14" t="s">
        <v>1133</v>
      </c>
      <c r="D432" s="15" t="s">
        <v>357</v>
      </c>
      <c r="E432" s="39">
        <f>100+20+10</f>
        <v>130</v>
      </c>
      <c r="F432" s="39">
        <v>55</v>
      </c>
      <c r="G432" s="39">
        <v>34</v>
      </c>
      <c r="H432" s="39">
        <v>11</v>
      </c>
      <c r="I432" s="39">
        <v>7</v>
      </c>
      <c r="J432" s="39">
        <v>0</v>
      </c>
      <c r="K432" s="19">
        <f t="shared" si="58"/>
        <v>23</v>
      </c>
      <c r="L432" s="40">
        <v>16</v>
      </c>
      <c r="M432" s="19">
        <f t="shared" si="56"/>
        <v>7</v>
      </c>
      <c r="N432" s="68">
        <f t="shared" si="57"/>
        <v>0.69565217391304346</v>
      </c>
      <c r="O432" s="69" t="s">
        <v>498</v>
      </c>
    </row>
    <row r="433" spans="1:15" s="3" customFormat="1" ht="29.25" customHeight="1" x14ac:dyDescent="0.45">
      <c r="A433" s="3" t="s">
        <v>1066</v>
      </c>
      <c r="B433" s="47">
        <v>21</v>
      </c>
      <c r="C433" s="14" t="s">
        <v>1134</v>
      </c>
      <c r="D433" s="15" t="s">
        <v>846</v>
      </c>
      <c r="E433" s="39">
        <v>20</v>
      </c>
      <c r="F433" s="39">
        <v>0</v>
      </c>
      <c r="G433" s="39">
        <v>0</v>
      </c>
      <c r="H433" s="39">
        <v>0</v>
      </c>
      <c r="I433" s="39">
        <v>0</v>
      </c>
      <c r="J433" s="39">
        <v>0</v>
      </c>
      <c r="K433" s="19">
        <f t="shared" si="58"/>
        <v>20</v>
      </c>
      <c r="L433" s="40">
        <v>14</v>
      </c>
      <c r="M433" s="19">
        <f t="shared" si="56"/>
        <v>6</v>
      </c>
      <c r="N433" s="68">
        <f t="shared" si="57"/>
        <v>0.7</v>
      </c>
      <c r="O433" s="69" t="s">
        <v>498</v>
      </c>
    </row>
    <row r="434" spans="1:15" s="3" customFormat="1" ht="29.25" customHeight="1" x14ac:dyDescent="0.45">
      <c r="A434" s="3" t="s">
        <v>1066</v>
      </c>
      <c r="B434" s="47">
        <v>22</v>
      </c>
      <c r="C434" s="14" t="s">
        <v>1130</v>
      </c>
      <c r="D434" s="15" t="s">
        <v>847</v>
      </c>
      <c r="E434" s="39">
        <v>20</v>
      </c>
      <c r="F434" s="39">
        <v>0</v>
      </c>
      <c r="G434" s="39">
        <v>9</v>
      </c>
      <c r="H434" s="39">
        <v>0</v>
      </c>
      <c r="I434" s="39">
        <v>0</v>
      </c>
      <c r="J434" s="39">
        <v>0</v>
      </c>
      <c r="K434" s="19">
        <f t="shared" si="58"/>
        <v>11</v>
      </c>
      <c r="L434" s="40">
        <v>9</v>
      </c>
      <c r="M434" s="19">
        <f t="shared" si="56"/>
        <v>2</v>
      </c>
      <c r="N434" s="82">
        <f t="shared" si="57"/>
        <v>0.81818181818181823</v>
      </c>
      <c r="O434" s="83" t="s">
        <v>495</v>
      </c>
    </row>
    <row r="435" spans="1:15" s="3" customFormat="1" ht="29.25" customHeight="1" x14ac:dyDescent="0.45">
      <c r="A435" s="3" t="s">
        <v>1066</v>
      </c>
      <c r="B435" s="47">
        <v>23</v>
      </c>
      <c r="C435" s="14" t="s">
        <v>1118</v>
      </c>
      <c r="D435" s="15" t="s">
        <v>372</v>
      </c>
      <c r="E435" s="39">
        <f>98+20</f>
        <v>118</v>
      </c>
      <c r="F435" s="39">
        <f>40+15</f>
        <v>55</v>
      </c>
      <c r="G435" s="39">
        <v>10</v>
      </c>
      <c r="H435" s="39">
        <v>10</v>
      </c>
      <c r="I435" s="39">
        <v>5</v>
      </c>
      <c r="J435" s="39">
        <v>0</v>
      </c>
      <c r="K435" s="19">
        <f t="shared" si="58"/>
        <v>38</v>
      </c>
      <c r="L435" s="40">
        <v>34</v>
      </c>
      <c r="M435" s="19">
        <f t="shared" si="56"/>
        <v>4</v>
      </c>
      <c r="N435" s="82">
        <f t="shared" si="57"/>
        <v>0.89473684210526316</v>
      </c>
      <c r="O435" s="83" t="s">
        <v>495</v>
      </c>
    </row>
    <row r="436" spans="1:15" s="3" customFormat="1" ht="27.6" customHeight="1" x14ac:dyDescent="0.45">
      <c r="A436" s="3" t="s">
        <v>1066</v>
      </c>
      <c r="B436" s="47">
        <v>24</v>
      </c>
      <c r="C436" s="14" t="s">
        <v>1129</v>
      </c>
      <c r="D436" s="15" t="s">
        <v>848</v>
      </c>
      <c r="E436" s="39">
        <v>20</v>
      </c>
      <c r="F436" s="39">
        <v>0</v>
      </c>
      <c r="G436" s="39">
        <v>0</v>
      </c>
      <c r="H436" s="39">
        <v>7</v>
      </c>
      <c r="I436" s="39">
        <v>0</v>
      </c>
      <c r="J436" s="39">
        <v>0</v>
      </c>
      <c r="K436" s="40">
        <f t="shared" si="58"/>
        <v>13</v>
      </c>
      <c r="L436" s="40">
        <v>13</v>
      </c>
      <c r="M436" s="40">
        <f t="shared" si="56"/>
        <v>0</v>
      </c>
      <c r="N436" s="41">
        <f t="shared" si="57"/>
        <v>1</v>
      </c>
      <c r="O436" s="58" t="s">
        <v>499</v>
      </c>
    </row>
    <row r="437" spans="1:15" s="3" customFormat="1" ht="29.25" customHeight="1" x14ac:dyDescent="0.45">
      <c r="A437" s="3" t="s">
        <v>1067</v>
      </c>
      <c r="B437" s="47">
        <v>1</v>
      </c>
      <c r="C437" s="7" t="s">
        <v>1171</v>
      </c>
      <c r="D437" s="8" t="s">
        <v>1087</v>
      </c>
      <c r="E437" s="18">
        <v>30</v>
      </c>
      <c r="F437" s="18">
        <v>0</v>
      </c>
      <c r="G437" s="18">
        <v>0</v>
      </c>
      <c r="H437" s="18">
        <v>0</v>
      </c>
      <c r="I437" s="18">
        <v>0</v>
      </c>
      <c r="J437" s="18">
        <v>0</v>
      </c>
      <c r="K437" s="19">
        <f t="shared" ref="K437:K444" si="59">E437-F437-G437-H437-I437-J437</f>
        <v>30</v>
      </c>
      <c r="L437" s="19">
        <v>4</v>
      </c>
      <c r="M437" s="19">
        <v>26</v>
      </c>
      <c r="N437" s="59">
        <f t="shared" ref="N437:N444" si="60">L437/K437</f>
        <v>0.13333333333333333</v>
      </c>
      <c r="O437" s="60" t="s">
        <v>496</v>
      </c>
    </row>
    <row r="438" spans="1:15" s="3" customFormat="1" ht="29.25" customHeight="1" x14ac:dyDescent="0.45">
      <c r="A438" s="3" t="s">
        <v>1067</v>
      </c>
      <c r="B438" s="47">
        <v>2</v>
      </c>
      <c r="C438" s="7" t="s">
        <v>1172</v>
      </c>
      <c r="D438" s="8" t="s">
        <v>1088</v>
      </c>
      <c r="E438" s="18">
        <v>30</v>
      </c>
      <c r="F438" s="18">
        <v>0</v>
      </c>
      <c r="G438" s="18">
        <v>0</v>
      </c>
      <c r="H438" s="18">
        <v>0</v>
      </c>
      <c r="I438" s="18">
        <v>0</v>
      </c>
      <c r="J438" s="18">
        <v>0</v>
      </c>
      <c r="K438" s="19">
        <f t="shared" si="59"/>
        <v>30</v>
      </c>
      <c r="L438" s="19">
        <v>4</v>
      </c>
      <c r="M438" s="19">
        <v>26</v>
      </c>
      <c r="N438" s="59">
        <f t="shared" si="60"/>
        <v>0.13333333333333333</v>
      </c>
      <c r="O438" s="60" t="s">
        <v>496</v>
      </c>
    </row>
    <row r="439" spans="1:15" s="3" customFormat="1" ht="29.25" customHeight="1" x14ac:dyDescent="0.45">
      <c r="A439" s="3" t="s">
        <v>1067</v>
      </c>
      <c r="B439" s="47">
        <v>3</v>
      </c>
      <c r="C439" s="7" t="s">
        <v>1175</v>
      </c>
      <c r="D439" s="8" t="s">
        <v>1089</v>
      </c>
      <c r="E439" s="18">
        <v>30</v>
      </c>
      <c r="F439" s="18">
        <v>0</v>
      </c>
      <c r="G439" s="18">
        <v>0</v>
      </c>
      <c r="H439" s="18">
        <v>0</v>
      </c>
      <c r="I439" s="18">
        <v>0</v>
      </c>
      <c r="J439" s="18">
        <v>0</v>
      </c>
      <c r="K439" s="19">
        <f t="shared" si="59"/>
        <v>30</v>
      </c>
      <c r="L439" s="19">
        <v>4</v>
      </c>
      <c r="M439" s="19">
        <v>26</v>
      </c>
      <c r="N439" s="59">
        <f t="shared" si="60"/>
        <v>0.13333333333333333</v>
      </c>
      <c r="O439" s="60" t="s">
        <v>496</v>
      </c>
    </row>
    <row r="440" spans="1:15" s="3" customFormat="1" ht="29.25" customHeight="1" x14ac:dyDescent="0.45">
      <c r="A440" s="3" t="s">
        <v>1067</v>
      </c>
      <c r="B440" s="47">
        <v>4</v>
      </c>
      <c r="C440" s="7" t="s">
        <v>1147</v>
      </c>
      <c r="D440" s="8" t="s">
        <v>1090</v>
      </c>
      <c r="E440" s="18">
        <v>30</v>
      </c>
      <c r="F440" s="18">
        <v>0</v>
      </c>
      <c r="G440" s="18">
        <v>0</v>
      </c>
      <c r="H440" s="18">
        <v>0</v>
      </c>
      <c r="I440" s="18">
        <v>0</v>
      </c>
      <c r="J440" s="18">
        <v>0</v>
      </c>
      <c r="K440" s="19">
        <f t="shared" si="59"/>
        <v>30</v>
      </c>
      <c r="L440" s="19">
        <v>7</v>
      </c>
      <c r="M440" s="19">
        <v>23</v>
      </c>
      <c r="N440" s="59">
        <f t="shared" si="60"/>
        <v>0.23333333333333334</v>
      </c>
      <c r="O440" s="60" t="s">
        <v>496</v>
      </c>
    </row>
    <row r="441" spans="1:15" s="3" customFormat="1" ht="29.25" customHeight="1" x14ac:dyDescent="0.45">
      <c r="A441" s="3" t="s">
        <v>1067</v>
      </c>
      <c r="B441" s="47">
        <v>5</v>
      </c>
      <c r="C441" s="14" t="s">
        <v>1147</v>
      </c>
      <c r="D441" s="15" t="s">
        <v>854</v>
      </c>
      <c r="E441" s="39">
        <f>20+10</f>
        <v>30</v>
      </c>
      <c r="F441" s="39">
        <v>0</v>
      </c>
      <c r="G441" s="39">
        <v>15</v>
      </c>
      <c r="H441" s="39">
        <v>0</v>
      </c>
      <c r="I441" s="39">
        <v>0</v>
      </c>
      <c r="J441" s="39">
        <v>0</v>
      </c>
      <c r="K441" s="40">
        <f t="shared" si="59"/>
        <v>15</v>
      </c>
      <c r="L441" s="40">
        <v>7</v>
      </c>
      <c r="M441" s="40">
        <f>K441-L441</f>
        <v>8</v>
      </c>
      <c r="N441" s="62">
        <f t="shared" si="60"/>
        <v>0.46666666666666667</v>
      </c>
      <c r="O441" s="63" t="s">
        <v>497</v>
      </c>
    </row>
    <row r="442" spans="1:15" s="3" customFormat="1" ht="29.25" customHeight="1" x14ac:dyDescent="0.45">
      <c r="A442" s="3" t="s">
        <v>1067</v>
      </c>
      <c r="B442" s="47">
        <v>6</v>
      </c>
      <c r="C442" s="14" t="s">
        <v>1173</v>
      </c>
      <c r="D442" s="15" t="s">
        <v>852</v>
      </c>
      <c r="E442" s="39">
        <v>20</v>
      </c>
      <c r="F442" s="39">
        <v>0</v>
      </c>
      <c r="G442" s="39">
        <v>10</v>
      </c>
      <c r="H442" s="39">
        <v>0</v>
      </c>
      <c r="I442" s="39">
        <v>0</v>
      </c>
      <c r="J442" s="39">
        <v>0</v>
      </c>
      <c r="K442" s="40">
        <f t="shared" si="59"/>
        <v>10</v>
      </c>
      <c r="L442" s="40">
        <v>8</v>
      </c>
      <c r="M442" s="40">
        <f>K442-L442</f>
        <v>2</v>
      </c>
      <c r="N442" s="82">
        <f t="shared" si="60"/>
        <v>0.8</v>
      </c>
      <c r="O442" s="83" t="s">
        <v>495</v>
      </c>
    </row>
    <row r="443" spans="1:15" s="3" customFormat="1" ht="29.25" customHeight="1" x14ac:dyDescent="0.45">
      <c r="A443" s="3" t="s">
        <v>1067</v>
      </c>
      <c r="B443" s="47">
        <v>7</v>
      </c>
      <c r="C443" s="14" t="s">
        <v>1174</v>
      </c>
      <c r="D443" s="15" t="s">
        <v>853</v>
      </c>
      <c r="E443" s="39">
        <v>20</v>
      </c>
      <c r="F443" s="39">
        <v>0</v>
      </c>
      <c r="G443" s="39">
        <v>10</v>
      </c>
      <c r="H443" s="39">
        <v>0</v>
      </c>
      <c r="I443" s="39">
        <v>0</v>
      </c>
      <c r="J443" s="39">
        <v>0</v>
      </c>
      <c r="K443" s="40">
        <f t="shared" si="59"/>
        <v>10</v>
      </c>
      <c r="L443" s="40">
        <v>8</v>
      </c>
      <c r="M443" s="40">
        <f>K443-L443</f>
        <v>2</v>
      </c>
      <c r="N443" s="82">
        <f t="shared" si="60"/>
        <v>0.8</v>
      </c>
      <c r="O443" s="83" t="s">
        <v>495</v>
      </c>
    </row>
    <row r="444" spans="1:15" s="3" customFormat="1" ht="29.25" customHeight="1" x14ac:dyDescent="0.45">
      <c r="A444" s="3" t="s">
        <v>1067</v>
      </c>
      <c r="B444" s="47">
        <v>8</v>
      </c>
      <c r="C444" s="14" t="s">
        <v>1170</v>
      </c>
      <c r="D444" s="15" t="s">
        <v>854</v>
      </c>
      <c r="E444" s="39">
        <v>20</v>
      </c>
      <c r="F444" s="39">
        <v>0</v>
      </c>
      <c r="G444" s="39">
        <v>10</v>
      </c>
      <c r="H444" s="39">
        <v>0</v>
      </c>
      <c r="I444" s="39">
        <v>0</v>
      </c>
      <c r="J444" s="39">
        <v>0</v>
      </c>
      <c r="K444" s="40">
        <f t="shared" si="59"/>
        <v>10</v>
      </c>
      <c r="L444" s="40">
        <v>8</v>
      </c>
      <c r="M444" s="40">
        <v>2</v>
      </c>
      <c r="N444" s="82">
        <f t="shared" si="60"/>
        <v>0.8</v>
      </c>
      <c r="O444" s="83" t="s">
        <v>495</v>
      </c>
    </row>
    <row r="445" spans="1:15" s="3" customFormat="1" ht="29.25" customHeight="1" x14ac:dyDescent="0.45">
      <c r="A445" s="3" t="s">
        <v>1068</v>
      </c>
      <c r="B445" s="47">
        <v>1</v>
      </c>
      <c r="C445" s="7" t="s">
        <v>1148</v>
      </c>
      <c r="D445" s="8" t="s">
        <v>1083</v>
      </c>
      <c r="E445" s="18">
        <f>20+10</f>
        <v>30</v>
      </c>
      <c r="F445" s="18">
        <v>0</v>
      </c>
      <c r="G445" s="18">
        <v>0</v>
      </c>
      <c r="H445" s="18">
        <v>0</v>
      </c>
      <c r="I445" s="18">
        <v>0</v>
      </c>
      <c r="J445" s="18">
        <v>0</v>
      </c>
      <c r="K445" s="19">
        <f>E445-F445-G445-H445-I445-J445</f>
        <v>30</v>
      </c>
      <c r="L445" s="19">
        <v>7</v>
      </c>
      <c r="M445" s="19">
        <v>23</v>
      </c>
      <c r="N445" s="59">
        <f t="shared" ref="N445:N452" si="61">L445/K445</f>
        <v>0.23333333333333334</v>
      </c>
      <c r="O445" s="60" t="s">
        <v>496</v>
      </c>
    </row>
    <row r="446" spans="1:15" s="3" customFormat="1" ht="29.25" customHeight="1" x14ac:dyDescent="0.45">
      <c r="A446" s="3" t="s">
        <v>1068</v>
      </c>
      <c r="B446" s="47">
        <v>2</v>
      </c>
      <c r="C446" s="7" t="s">
        <v>1149</v>
      </c>
      <c r="D446" s="8" t="s">
        <v>1084</v>
      </c>
      <c r="E446" s="18">
        <v>20</v>
      </c>
      <c r="F446" s="18">
        <v>0</v>
      </c>
      <c r="G446" s="18">
        <v>0</v>
      </c>
      <c r="H446" s="18">
        <v>0</v>
      </c>
      <c r="I446" s="18">
        <v>0</v>
      </c>
      <c r="J446" s="18">
        <v>0</v>
      </c>
      <c r="K446" s="19">
        <f>E446-F446-G446-H446-I446-J446</f>
        <v>20</v>
      </c>
      <c r="L446" s="19">
        <v>5</v>
      </c>
      <c r="M446" s="19">
        <v>15</v>
      </c>
      <c r="N446" s="59">
        <f t="shared" si="61"/>
        <v>0.25</v>
      </c>
      <c r="O446" s="60" t="s">
        <v>496</v>
      </c>
    </row>
    <row r="447" spans="1:15" s="3" customFormat="1" ht="29.25" customHeight="1" x14ac:dyDescent="0.45">
      <c r="A447" s="3" t="s">
        <v>1068</v>
      </c>
      <c r="B447" s="47">
        <v>3</v>
      </c>
      <c r="C447" s="7" t="s">
        <v>1150</v>
      </c>
      <c r="D447" s="8" t="s">
        <v>883</v>
      </c>
      <c r="E447" s="18">
        <v>20</v>
      </c>
      <c r="F447" s="18">
        <v>0</v>
      </c>
      <c r="G447" s="18">
        <v>0</v>
      </c>
      <c r="H447" s="18">
        <v>0</v>
      </c>
      <c r="I447" s="18">
        <v>0</v>
      </c>
      <c r="J447" s="18">
        <v>0</v>
      </c>
      <c r="K447" s="19">
        <v>20</v>
      </c>
      <c r="L447" s="19">
        <v>7</v>
      </c>
      <c r="M447" s="19">
        <f>K447-L447</f>
        <v>13</v>
      </c>
      <c r="N447" s="20">
        <f t="shared" si="61"/>
        <v>0.35</v>
      </c>
      <c r="O447" s="22" t="s">
        <v>497</v>
      </c>
    </row>
    <row r="448" spans="1:15" s="3" customFormat="1" ht="29.25" customHeight="1" x14ac:dyDescent="0.45">
      <c r="A448" s="3" t="s">
        <v>1068</v>
      </c>
      <c r="B448" s="47">
        <v>4</v>
      </c>
      <c r="C448" s="7" t="s">
        <v>1151</v>
      </c>
      <c r="D448" s="8" t="s">
        <v>885</v>
      </c>
      <c r="E448" s="18">
        <v>40</v>
      </c>
      <c r="F448" s="18">
        <v>0</v>
      </c>
      <c r="G448" s="18">
        <v>20</v>
      </c>
      <c r="H448" s="18">
        <v>0</v>
      </c>
      <c r="I448" s="18">
        <v>0</v>
      </c>
      <c r="J448" s="18">
        <v>0</v>
      </c>
      <c r="K448" s="19">
        <f>E448-F448-G448-H448-I448-J448</f>
        <v>20</v>
      </c>
      <c r="L448" s="19">
        <v>8</v>
      </c>
      <c r="M448" s="19">
        <v>12</v>
      </c>
      <c r="N448" s="20">
        <f t="shared" si="61"/>
        <v>0.4</v>
      </c>
      <c r="O448" s="22" t="s">
        <v>497</v>
      </c>
    </row>
    <row r="449" spans="1:15" s="3" customFormat="1" ht="29.25" customHeight="1" x14ac:dyDescent="0.45">
      <c r="A449" s="3" t="s">
        <v>1068</v>
      </c>
      <c r="B449" s="47">
        <v>5</v>
      </c>
      <c r="C449" s="7" t="s">
        <v>1152</v>
      </c>
      <c r="D449" s="8" t="s">
        <v>881</v>
      </c>
      <c r="E449" s="18">
        <v>20</v>
      </c>
      <c r="F449" s="18">
        <v>0</v>
      </c>
      <c r="G449" s="18">
        <v>0</v>
      </c>
      <c r="H449" s="18">
        <v>0</v>
      </c>
      <c r="I449" s="18">
        <v>0</v>
      </c>
      <c r="J449" s="18">
        <v>0</v>
      </c>
      <c r="K449" s="19">
        <v>20</v>
      </c>
      <c r="L449" s="19">
        <v>8</v>
      </c>
      <c r="M449" s="19">
        <f>K449-L449</f>
        <v>12</v>
      </c>
      <c r="N449" s="20">
        <f t="shared" si="61"/>
        <v>0.4</v>
      </c>
      <c r="O449" s="22" t="s">
        <v>497</v>
      </c>
    </row>
    <row r="450" spans="1:15" s="3" customFormat="1" ht="29.25" customHeight="1" x14ac:dyDescent="0.45">
      <c r="A450" s="3" t="s">
        <v>1068</v>
      </c>
      <c r="B450" s="47">
        <v>6</v>
      </c>
      <c r="C450" s="7" t="s">
        <v>1153</v>
      </c>
      <c r="D450" s="8" t="s">
        <v>849</v>
      </c>
      <c r="E450" s="18">
        <v>20</v>
      </c>
      <c r="F450" s="18">
        <v>0</v>
      </c>
      <c r="G450" s="18">
        <v>5</v>
      </c>
      <c r="H450" s="18">
        <v>0</v>
      </c>
      <c r="I450" s="18">
        <v>0</v>
      </c>
      <c r="J450" s="18">
        <v>0</v>
      </c>
      <c r="K450" s="19">
        <f>E450-F450-G450-H450-I450-J450</f>
        <v>15</v>
      </c>
      <c r="L450" s="19">
        <v>9</v>
      </c>
      <c r="M450" s="19">
        <f>K450-L450</f>
        <v>6</v>
      </c>
      <c r="N450" s="23">
        <f t="shared" si="61"/>
        <v>0.6</v>
      </c>
      <c r="O450" s="24" t="s">
        <v>498</v>
      </c>
    </row>
    <row r="451" spans="1:15" s="3" customFormat="1" ht="29.25" customHeight="1" x14ac:dyDescent="0.45">
      <c r="A451" s="3" t="s">
        <v>1068</v>
      </c>
      <c r="B451" s="47">
        <v>7</v>
      </c>
      <c r="C451" s="14" t="s">
        <v>1154</v>
      </c>
      <c r="D451" s="15" t="s">
        <v>850</v>
      </c>
      <c r="E451" s="39">
        <v>20</v>
      </c>
      <c r="F451" s="39">
        <v>0</v>
      </c>
      <c r="G451" s="39">
        <v>5</v>
      </c>
      <c r="H451" s="39">
        <v>0</v>
      </c>
      <c r="I451" s="39">
        <v>0</v>
      </c>
      <c r="J451" s="39">
        <v>0</v>
      </c>
      <c r="K451" s="40">
        <f>E451-F451-G451-H451-I451-J451</f>
        <v>15</v>
      </c>
      <c r="L451" s="40">
        <v>10</v>
      </c>
      <c r="M451" s="40">
        <f>K451-L451</f>
        <v>5</v>
      </c>
      <c r="N451" s="68">
        <f t="shared" si="61"/>
        <v>0.66666666666666663</v>
      </c>
      <c r="O451" s="69" t="s">
        <v>498</v>
      </c>
    </row>
    <row r="452" spans="1:15" s="3" customFormat="1" ht="29.25" customHeight="1" x14ac:dyDescent="0.45">
      <c r="A452" s="3" t="s">
        <v>1068</v>
      </c>
      <c r="B452" s="47">
        <v>8</v>
      </c>
      <c r="C452" s="14" t="s">
        <v>1119</v>
      </c>
      <c r="D452" s="15" t="s">
        <v>851</v>
      </c>
      <c r="E452" s="39">
        <v>20</v>
      </c>
      <c r="F452" s="39">
        <v>0</v>
      </c>
      <c r="G452" s="39">
        <v>9</v>
      </c>
      <c r="H452" s="39">
        <v>0</v>
      </c>
      <c r="I452" s="39">
        <v>0</v>
      </c>
      <c r="J452" s="39">
        <v>0</v>
      </c>
      <c r="K452" s="40">
        <f>E452-F452-G452-H452-I452-J452</f>
        <v>11</v>
      </c>
      <c r="L452" s="40">
        <v>10</v>
      </c>
      <c r="M452" s="40">
        <v>1</v>
      </c>
      <c r="N452" s="82">
        <f t="shared" si="61"/>
        <v>0.90909090909090906</v>
      </c>
      <c r="O452" s="83" t="s">
        <v>495</v>
      </c>
    </row>
    <row r="453" spans="1:15" s="3" customFormat="1" ht="29.25" customHeight="1" x14ac:dyDescent="0.45">
      <c r="A453" s="3" t="s">
        <v>1069</v>
      </c>
      <c r="B453" s="47">
        <v>1</v>
      </c>
      <c r="C453" s="7" t="s">
        <v>1185</v>
      </c>
      <c r="D453" s="8" t="s">
        <v>1086</v>
      </c>
      <c r="E453" s="18">
        <v>20</v>
      </c>
      <c r="F453" s="18">
        <v>0</v>
      </c>
      <c r="G453" s="18">
        <v>0</v>
      </c>
      <c r="H453" s="18">
        <v>0</v>
      </c>
      <c r="I453" s="18">
        <v>0</v>
      </c>
      <c r="J453" s="18">
        <v>0</v>
      </c>
      <c r="K453" s="19">
        <f t="shared" ref="K453:K458" si="62">E453-F453-G453-H453-I453-J453</f>
        <v>20</v>
      </c>
      <c r="L453" s="19">
        <v>4</v>
      </c>
      <c r="M453" s="19">
        <f>K453-L453</f>
        <v>16</v>
      </c>
      <c r="N453" s="59">
        <f t="shared" ref="N453:N463" si="63">L453/K453</f>
        <v>0.2</v>
      </c>
      <c r="O453" s="60" t="s">
        <v>496</v>
      </c>
    </row>
    <row r="454" spans="1:15" s="3" customFormat="1" ht="29.25" customHeight="1" x14ac:dyDescent="0.45">
      <c r="A454" s="3" t="s">
        <v>1069</v>
      </c>
      <c r="B454" s="47">
        <v>2</v>
      </c>
      <c r="C454" s="7" t="s">
        <v>1179</v>
      </c>
      <c r="D454" s="8" t="s">
        <v>1085</v>
      </c>
      <c r="E454" s="18">
        <v>20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9">
        <f t="shared" si="62"/>
        <v>20</v>
      </c>
      <c r="L454" s="19">
        <v>4</v>
      </c>
      <c r="M454" s="19">
        <f>K454-L454</f>
        <v>16</v>
      </c>
      <c r="N454" s="59">
        <f t="shared" si="63"/>
        <v>0.2</v>
      </c>
      <c r="O454" s="60" t="s">
        <v>496</v>
      </c>
    </row>
    <row r="455" spans="1:15" s="3" customFormat="1" ht="29.25" customHeight="1" x14ac:dyDescent="0.45">
      <c r="A455" s="3" t="s">
        <v>1069</v>
      </c>
      <c r="B455" s="47">
        <v>3</v>
      </c>
      <c r="C455" s="7" t="s">
        <v>1176</v>
      </c>
      <c r="D455" s="8" t="s">
        <v>368</v>
      </c>
      <c r="E455" s="18">
        <v>100</v>
      </c>
      <c r="F455" s="18">
        <v>30</v>
      </c>
      <c r="G455" s="18">
        <v>15</v>
      </c>
      <c r="H455" s="18">
        <v>10</v>
      </c>
      <c r="I455" s="18">
        <v>2</v>
      </c>
      <c r="J455" s="18">
        <v>0</v>
      </c>
      <c r="K455" s="19">
        <f t="shared" si="62"/>
        <v>43</v>
      </c>
      <c r="L455" s="19">
        <v>11</v>
      </c>
      <c r="M455" s="19">
        <f>K455-L455</f>
        <v>32</v>
      </c>
      <c r="N455" s="59">
        <f t="shared" si="63"/>
        <v>0.2558139534883721</v>
      </c>
      <c r="O455" s="60" t="s">
        <v>496</v>
      </c>
    </row>
    <row r="456" spans="1:15" s="3" customFormat="1" ht="29.25" customHeight="1" x14ac:dyDescent="0.45">
      <c r="A456" s="3" t="s">
        <v>1069</v>
      </c>
      <c r="B456" s="47">
        <v>4</v>
      </c>
      <c r="C456" s="7" t="s">
        <v>1178</v>
      </c>
      <c r="D456" s="8" t="s">
        <v>842</v>
      </c>
      <c r="E456" s="18">
        <f>20+10</f>
        <v>30</v>
      </c>
      <c r="F456" s="18">
        <v>0</v>
      </c>
      <c r="G456" s="18">
        <v>0</v>
      </c>
      <c r="H456" s="18">
        <v>0</v>
      </c>
      <c r="I456" s="18">
        <v>0</v>
      </c>
      <c r="J456" s="18">
        <v>0</v>
      </c>
      <c r="K456" s="19">
        <f t="shared" si="62"/>
        <v>30</v>
      </c>
      <c r="L456" s="19">
        <v>9</v>
      </c>
      <c r="M456" s="19">
        <v>21</v>
      </c>
      <c r="N456" s="20">
        <f t="shared" si="63"/>
        <v>0.3</v>
      </c>
      <c r="O456" s="22" t="s">
        <v>497</v>
      </c>
    </row>
    <row r="457" spans="1:15" s="3" customFormat="1" ht="29.25" customHeight="1" x14ac:dyDescent="0.45">
      <c r="A457" s="3" t="s">
        <v>1069</v>
      </c>
      <c r="B457" s="47">
        <v>5</v>
      </c>
      <c r="C457" s="7" t="s">
        <v>1177</v>
      </c>
      <c r="D457" s="8" t="s">
        <v>369</v>
      </c>
      <c r="E457" s="18">
        <f>49+30</f>
        <v>79</v>
      </c>
      <c r="F457" s="18">
        <v>30</v>
      </c>
      <c r="G457" s="18">
        <v>5</v>
      </c>
      <c r="H457" s="18">
        <v>10</v>
      </c>
      <c r="I457" s="18">
        <v>2</v>
      </c>
      <c r="J457" s="18">
        <v>0</v>
      </c>
      <c r="K457" s="19">
        <f t="shared" si="62"/>
        <v>32</v>
      </c>
      <c r="L457" s="19">
        <v>10</v>
      </c>
      <c r="M457" s="19">
        <f>K457-L457</f>
        <v>22</v>
      </c>
      <c r="N457" s="20">
        <f t="shared" si="63"/>
        <v>0.3125</v>
      </c>
      <c r="O457" s="22" t="s">
        <v>497</v>
      </c>
    </row>
    <row r="458" spans="1:15" s="3" customFormat="1" ht="29.25" customHeight="1" x14ac:dyDescent="0.45">
      <c r="A458" s="3" t="s">
        <v>1069</v>
      </c>
      <c r="B458" s="47">
        <v>6</v>
      </c>
      <c r="C458" s="7" t="s">
        <v>1182</v>
      </c>
      <c r="D458" s="8" t="s">
        <v>370</v>
      </c>
      <c r="E458" s="18">
        <f>51+30</f>
        <v>81</v>
      </c>
      <c r="F458" s="18">
        <v>30</v>
      </c>
      <c r="G458" s="18">
        <v>5</v>
      </c>
      <c r="H458" s="18">
        <v>10</v>
      </c>
      <c r="I458" s="18">
        <v>2</v>
      </c>
      <c r="J458" s="18">
        <v>0</v>
      </c>
      <c r="K458" s="19">
        <f t="shared" si="62"/>
        <v>34</v>
      </c>
      <c r="L458" s="19">
        <v>12</v>
      </c>
      <c r="M458" s="19">
        <f>K458-L458</f>
        <v>22</v>
      </c>
      <c r="N458" s="20">
        <f t="shared" si="63"/>
        <v>0.35294117647058826</v>
      </c>
      <c r="O458" s="22" t="s">
        <v>497</v>
      </c>
    </row>
    <row r="459" spans="1:15" s="3" customFormat="1" ht="29.25" customHeight="1" x14ac:dyDescent="0.45">
      <c r="A459" s="3" t="s">
        <v>1069</v>
      </c>
      <c r="B459" s="47">
        <v>7</v>
      </c>
      <c r="C459" s="7" t="s">
        <v>1180</v>
      </c>
      <c r="D459" s="8" t="s">
        <v>884</v>
      </c>
      <c r="E459" s="18">
        <v>20</v>
      </c>
      <c r="F459" s="18">
        <v>0</v>
      </c>
      <c r="G459" s="18">
        <v>0</v>
      </c>
      <c r="H459" s="18">
        <v>0</v>
      </c>
      <c r="I459" s="18">
        <v>0</v>
      </c>
      <c r="J459" s="18">
        <v>0</v>
      </c>
      <c r="K459" s="19">
        <v>20</v>
      </c>
      <c r="L459" s="19">
        <v>8</v>
      </c>
      <c r="M459" s="19">
        <v>12</v>
      </c>
      <c r="N459" s="20">
        <f t="shared" si="63"/>
        <v>0.4</v>
      </c>
      <c r="O459" s="22" t="s">
        <v>497</v>
      </c>
    </row>
    <row r="460" spans="1:15" s="3" customFormat="1" ht="29.25" customHeight="1" x14ac:dyDescent="0.45">
      <c r="A460" s="3" t="s">
        <v>1069</v>
      </c>
      <c r="B460" s="47">
        <v>8</v>
      </c>
      <c r="C460" s="7" t="s">
        <v>1183</v>
      </c>
      <c r="D460" s="8" t="s">
        <v>371</v>
      </c>
      <c r="E460" s="18">
        <v>70</v>
      </c>
      <c r="F460" s="18">
        <v>30</v>
      </c>
      <c r="G460" s="18">
        <v>5</v>
      </c>
      <c r="H460" s="18">
        <v>10</v>
      </c>
      <c r="I460" s="18">
        <v>3</v>
      </c>
      <c r="J460" s="18">
        <v>0</v>
      </c>
      <c r="K460" s="19">
        <f>E460-F460-G460-H460-I460-J460</f>
        <v>22</v>
      </c>
      <c r="L460" s="19">
        <v>9</v>
      </c>
      <c r="M460" s="19">
        <f>K460-L460</f>
        <v>13</v>
      </c>
      <c r="N460" s="20">
        <f t="shared" si="63"/>
        <v>0.40909090909090912</v>
      </c>
      <c r="O460" s="22" t="s">
        <v>497</v>
      </c>
    </row>
    <row r="461" spans="1:15" s="3" customFormat="1" ht="29.25" customHeight="1" x14ac:dyDescent="0.45">
      <c r="A461" s="3" t="s">
        <v>1069</v>
      </c>
      <c r="B461" s="47">
        <v>9</v>
      </c>
      <c r="C461" s="7" t="s">
        <v>1184</v>
      </c>
      <c r="D461" s="8" t="s">
        <v>844</v>
      </c>
      <c r="E461" s="18">
        <v>20</v>
      </c>
      <c r="F461" s="18">
        <v>0</v>
      </c>
      <c r="G461" s="18">
        <v>5</v>
      </c>
      <c r="H461" s="18">
        <v>0</v>
      </c>
      <c r="I461" s="18">
        <v>0</v>
      </c>
      <c r="J461" s="18">
        <v>0</v>
      </c>
      <c r="K461" s="19">
        <f>E461-F461-G461-H461-I461-J461</f>
        <v>15</v>
      </c>
      <c r="L461" s="19">
        <v>8</v>
      </c>
      <c r="M461" s="19">
        <f>K461-L461</f>
        <v>7</v>
      </c>
      <c r="N461" s="23">
        <f t="shared" si="63"/>
        <v>0.53333333333333333</v>
      </c>
      <c r="O461" s="24" t="s">
        <v>498</v>
      </c>
    </row>
    <row r="462" spans="1:15" s="3" customFormat="1" ht="29.25" customHeight="1" x14ac:dyDescent="0.45">
      <c r="A462" s="3" t="s">
        <v>1069</v>
      </c>
      <c r="B462" s="47">
        <v>10</v>
      </c>
      <c r="C462" s="14" t="s">
        <v>1186</v>
      </c>
      <c r="D462" s="15" t="s">
        <v>845</v>
      </c>
      <c r="E462" s="39">
        <v>20</v>
      </c>
      <c r="F462" s="39">
        <v>5</v>
      </c>
      <c r="G462" s="39">
        <v>0</v>
      </c>
      <c r="H462" s="39">
        <v>0</v>
      </c>
      <c r="I462" s="39">
        <v>0</v>
      </c>
      <c r="J462" s="39">
        <v>0</v>
      </c>
      <c r="K462" s="40">
        <f>E462-F462-G462-H462-I462-J462</f>
        <v>15</v>
      </c>
      <c r="L462" s="40">
        <v>11</v>
      </c>
      <c r="M462" s="40">
        <f>K462-L462</f>
        <v>4</v>
      </c>
      <c r="N462" s="68">
        <f t="shared" si="63"/>
        <v>0.73333333333333328</v>
      </c>
      <c r="O462" s="69" t="s">
        <v>498</v>
      </c>
    </row>
    <row r="463" spans="1:15" s="3" customFormat="1" ht="29.25" customHeight="1" x14ac:dyDescent="0.45">
      <c r="A463" s="3" t="s">
        <v>1069</v>
      </c>
      <c r="B463" s="47">
        <v>11</v>
      </c>
      <c r="C463" s="14" t="s">
        <v>1181</v>
      </c>
      <c r="D463" s="15" t="s">
        <v>843</v>
      </c>
      <c r="E463" s="39">
        <v>20</v>
      </c>
      <c r="F463" s="39">
        <v>0</v>
      </c>
      <c r="G463" s="39">
        <v>5</v>
      </c>
      <c r="H463" s="39">
        <v>0</v>
      </c>
      <c r="I463" s="39">
        <v>0</v>
      </c>
      <c r="J463" s="39">
        <v>0</v>
      </c>
      <c r="K463" s="40">
        <f>E463-F463-G463-H463-I463-J463</f>
        <v>15</v>
      </c>
      <c r="L463" s="40">
        <v>13</v>
      </c>
      <c r="M463" s="40">
        <f>K463-L463</f>
        <v>2</v>
      </c>
      <c r="N463" s="82">
        <f t="shared" si="63"/>
        <v>0.8666666666666667</v>
      </c>
      <c r="O463" s="83" t="s">
        <v>495</v>
      </c>
    </row>
    <row r="464" spans="1:15" s="3" customFormat="1" ht="29.25" customHeight="1" x14ac:dyDescent="0.45">
      <c r="A464" s="3" t="s">
        <v>1070</v>
      </c>
      <c r="B464" s="47">
        <v>1</v>
      </c>
      <c r="C464" s="14" t="s">
        <v>1145</v>
      </c>
      <c r="D464" s="15" t="s">
        <v>355</v>
      </c>
      <c r="E464" s="39">
        <f>50+40+10</f>
        <v>100</v>
      </c>
      <c r="F464" s="39">
        <v>30</v>
      </c>
      <c r="G464" s="39">
        <v>0</v>
      </c>
      <c r="H464" s="39">
        <v>15</v>
      </c>
      <c r="I464" s="39">
        <v>0</v>
      </c>
      <c r="J464" s="39">
        <v>0</v>
      </c>
      <c r="K464" s="19">
        <f t="shared" ref="K464:K473" si="64">E464-F464-G464-H464-I464-J464</f>
        <v>55</v>
      </c>
      <c r="L464" s="40">
        <v>31</v>
      </c>
      <c r="M464" s="19">
        <f t="shared" ref="M464:M473" si="65">K464-L464</f>
        <v>24</v>
      </c>
      <c r="N464" s="68">
        <f t="shared" ref="N464:N473" si="66">L464/K464</f>
        <v>0.5636363636363636</v>
      </c>
      <c r="O464" s="69" t="s">
        <v>498</v>
      </c>
    </row>
    <row r="465" spans="1:15" s="3" customFormat="1" ht="29.25" customHeight="1" x14ac:dyDescent="0.45">
      <c r="A465" s="3" t="s">
        <v>1070</v>
      </c>
      <c r="B465" s="47">
        <v>2</v>
      </c>
      <c r="C465" s="14" t="s">
        <v>1126</v>
      </c>
      <c r="D465" s="15" t="s">
        <v>353</v>
      </c>
      <c r="E465" s="39">
        <v>109</v>
      </c>
      <c r="F465" s="39">
        <v>30</v>
      </c>
      <c r="G465" s="39">
        <v>0</v>
      </c>
      <c r="H465" s="39">
        <v>10</v>
      </c>
      <c r="I465" s="39">
        <v>0</v>
      </c>
      <c r="J465" s="39">
        <v>0</v>
      </c>
      <c r="K465" s="19">
        <f t="shared" si="64"/>
        <v>69</v>
      </c>
      <c r="L465" s="40">
        <v>49</v>
      </c>
      <c r="M465" s="19">
        <f t="shared" si="65"/>
        <v>20</v>
      </c>
      <c r="N465" s="68">
        <f t="shared" si="66"/>
        <v>0.71014492753623193</v>
      </c>
      <c r="O465" s="69" t="s">
        <v>498</v>
      </c>
    </row>
    <row r="466" spans="1:15" s="3" customFormat="1" ht="29.25" customHeight="1" x14ac:dyDescent="0.45">
      <c r="A466" s="3" t="s">
        <v>1070</v>
      </c>
      <c r="B466" s="47">
        <v>3</v>
      </c>
      <c r="C466" s="14" t="s">
        <v>1146</v>
      </c>
      <c r="D466" s="15" t="s">
        <v>367</v>
      </c>
      <c r="E466" s="39">
        <f>48+40+20</f>
        <v>108</v>
      </c>
      <c r="F466" s="39">
        <v>21</v>
      </c>
      <c r="G466" s="39">
        <v>0</v>
      </c>
      <c r="H466" s="39">
        <v>25</v>
      </c>
      <c r="I466" s="39">
        <v>5</v>
      </c>
      <c r="J466" s="39">
        <v>0</v>
      </c>
      <c r="K466" s="19">
        <f t="shared" si="64"/>
        <v>57</v>
      </c>
      <c r="L466" s="40">
        <v>41</v>
      </c>
      <c r="M466" s="19">
        <f t="shared" si="65"/>
        <v>16</v>
      </c>
      <c r="N466" s="68">
        <f t="shared" si="66"/>
        <v>0.7192982456140351</v>
      </c>
      <c r="O466" s="69" t="s">
        <v>498</v>
      </c>
    </row>
    <row r="467" spans="1:15" s="3" customFormat="1" ht="29.25" customHeight="1" x14ac:dyDescent="0.45">
      <c r="A467" s="3" t="s">
        <v>1070</v>
      </c>
      <c r="B467" s="47">
        <v>4</v>
      </c>
      <c r="C467" s="14" t="s">
        <v>1144</v>
      </c>
      <c r="D467" s="15" t="s">
        <v>354</v>
      </c>
      <c r="E467" s="39">
        <v>91</v>
      </c>
      <c r="F467" s="39">
        <v>25</v>
      </c>
      <c r="G467" s="39">
        <v>0</v>
      </c>
      <c r="H467" s="39">
        <v>16</v>
      </c>
      <c r="I467" s="39">
        <v>0</v>
      </c>
      <c r="J467" s="39">
        <v>0</v>
      </c>
      <c r="K467" s="40">
        <f t="shared" si="64"/>
        <v>50</v>
      </c>
      <c r="L467" s="40">
        <v>39</v>
      </c>
      <c r="M467" s="40">
        <f t="shared" si="65"/>
        <v>11</v>
      </c>
      <c r="N467" s="82">
        <f t="shared" si="66"/>
        <v>0.78</v>
      </c>
      <c r="O467" s="83" t="s">
        <v>495</v>
      </c>
    </row>
    <row r="468" spans="1:15" s="3" customFormat="1" ht="29.25" customHeight="1" x14ac:dyDescent="0.45">
      <c r="A468" s="3" t="s">
        <v>1070</v>
      </c>
      <c r="B468" s="47">
        <v>5</v>
      </c>
      <c r="C468" s="14" t="s">
        <v>1143</v>
      </c>
      <c r="D468" s="15" t="s">
        <v>361</v>
      </c>
      <c r="E468" s="39">
        <f>98+30+10</f>
        <v>138</v>
      </c>
      <c r="F468" s="39">
        <v>40</v>
      </c>
      <c r="G468" s="39">
        <v>10</v>
      </c>
      <c r="H468" s="39">
        <v>20</v>
      </c>
      <c r="I468" s="39">
        <v>6</v>
      </c>
      <c r="J468" s="39">
        <v>0</v>
      </c>
      <c r="K468" s="40">
        <f t="shared" si="64"/>
        <v>62</v>
      </c>
      <c r="L468" s="40">
        <v>58</v>
      </c>
      <c r="M468" s="40">
        <f t="shared" si="65"/>
        <v>4</v>
      </c>
      <c r="N468" s="82">
        <f t="shared" si="66"/>
        <v>0.93548387096774188</v>
      </c>
      <c r="O468" s="83" t="s">
        <v>495</v>
      </c>
    </row>
    <row r="469" spans="1:15" s="3" customFormat="1" ht="29.25" customHeight="1" x14ac:dyDescent="0.45">
      <c r="A469" s="3" t="s">
        <v>1070</v>
      </c>
      <c r="B469" s="47">
        <v>6</v>
      </c>
      <c r="C469" s="14" t="s">
        <v>1128</v>
      </c>
      <c r="D469" s="15" t="s">
        <v>362</v>
      </c>
      <c r="E469" s="39">
        <f>100+30+20</f>
        <v>150</v>
      </c>
      <c r="F469" s="39">
        <v>53</v>
      </c>
      <c r="G469" s="39">
        <v>10</v>
      </c>
      <c r="H469" s="39">
        <v>26</v>
      </c>
      <c r="I469" s="39">
        <v>6</v>
      </c>
      <c r="J469" s="39">
        <v>0</v>
      </c>
      <c r="K469" s="40">
        <f t="shared" si="64"/>
        <v>55</v>
      </c>
      <c r="L469" s="40">
        <v>54</v>
      </c>
      <c r="M469" s="40">
        <f t="shared" si="65"/>
        <v>1</v>
      </c>
      <c r="N469" s="82">
        <f t="shared" si="66"/>
        <v>0.98181818181818181</v>
      </c>
      <c r="O469" s="83" t="s">
        <v>495</v>
      </c>
    </row>
    <row r="470" spans="1:15" s="3" customFormat="1" ht="29.25" customHeight="1" x14ac:dyDescent="0.45">
      <c r="A470" s="3" t="s">
        <v>1070</v>
      </c>
      <c r="B470" s="47">
        <v>7</v>
      </c>
      <c r="C470" s="14">
        <v>10432218</v>
      </c>
      <c r="D470" s="15" t="s">
        <v>366</v>
      </c>
      <c r="E470" s="39">
        <f>99+20</f>
        <v>119</v>
      </c>
      <c r="F470" s="39">
        <v>40</v>
      </c>
      <c r="G470" s="39">
        <v>10</v>
      </c>
      <c r="H470" s="39">
        <v>26</v>
      </c>
      <c r="I470" s="39">
        <v>5</v>
      </c>
      <c r="J470" s="39">
        <v>6</v>
      </c>
      <c r="K470" s="40">
        <f t="shared" si="64"/>
        <v>32</v>
      </c>
      <c r="L470" s="40">
        <v>31</v>
      </c>
      <c r="M470" s="40">
        <f t="shared" si="65"/>
        <v>1</v>
      </c>
      <c r="N470" s="82">
        <f t="shared" si="66"/>
        <v>0.96875</v>
      </c>
      <c r="O470" s="83" t="s">
        <v>495</v>
      </c>
    </row>
    <row r="471" spans="1:15" s="3" customFormat="1" ht="29.25" customHeight="1" x14ac:dyDescent="0.45">
      <c r="A471" s="3" t="s">
        <v>1070</v>
      </c>
      <c r="B471" s="47">
        <v>8</v>
      </c>
      <c r="C471" s="14" t="s">
        <v>1127</v>
      </c>
      <c r="D471" s="15" t="s">
        <v>487</v>
      </c>
      <c r="E471" s="39">
        <f>49+30+20</f>
        <v>99</v>
      </c>
      <c r="F471" s="39">
        <v>30</v>
      </c>
      <c r="G471" s="39">
        <v>0</v>
      </c>
      <c r="H471" s="39">
        <v>15</v>
      </c>
      <c r="I471" s="39">
        <v>0</v>
      </c>
      <c r="J471" s="39">
        <v>0</v>
      </c>
      <c r="K471" s="40">
        <f t="shared" si="64"/>
        <v>54</v>
      </c>
      <c r="L471" s="40">
        <v>54</v>
      </c>
      <c r="M471" s="40">
        <f t="shared" si="65"/>
        <v>0</v>
      </c>
      <c r="N471" s="41">
        <f t="shared" si="66"/>
        <v>1</v>
      </c>
      <c r="O471" s="58" t="s">
        <v>499</v>
      </c>
    </row>
    <row r="472" spans="1:15" s="3" customFormat="1" ht="29.25" customHeight="1" x14ac:dyDescent="0.45">
      <c r="A472" s="3" t="s">
        <v>1070</v>
      </c>
      <c r="B472" s="47">
        <v>9</v>
      </c>
      <c r="C472" s="14" t="s">
        <v>1125</v>
      </c>
      <c r="D472" s="15" t="s">
        <v>488</v>
      </c>
      <c r="E472" s="39">
        <f>101+40+10</f>
        <v>151</v>
      </c>
      <c r="F472" s="39">
        <v>50</v>
      </c>
      <c r="G472" s="39">
        <v>10</v>
      </c>
      <c r="H472" s="39">
        <v>20</v>
      </c>
      <c r="I472" s="39">
        <v>0</v>
      </c>
      <c r="J472" s="39">
        <v>0</v>
      </c>
      <c r="K472" s="40">
        <f t="shared" si="64"/>
        <v>71</v>
      </c>
      <c r="L472" s="40">
        <v>71</v>
      </c>
      <c r="M472" s="40">
        <f t="shared" si="65"/>
        <v>0</v>
      </c>
      <c r="N472" s="41">
        <f t="shared" si="66"/>
        <v>1</v>
      </c>
      <c r="O472" s="58" t="s">
        <v>499</v>
      </c>
    </row>
    <row r="473" spans="1:15" s="3" customFormat="1" ht="30" customHeight="1" x14ac:dyDescent="0.45">
      <c r="A473" s="3" t="s">
        <v>1070</v>
      </c>
      <c r="B473" s="47">
        <v>10</v>
      </c>
      <c r="C473" s="14">
        <v>10030811</v>
      </c>
      <c r="D473" s="15" t="s">
        <v>841</v>
      </c>
      <c r="E473" s="39">
        <v>20</v>
      </c>
      <c r="F473" s="39">
        <v>0</v>
      </c>
      <c r="G473" s="39">
        <v>0</v>
      </c>
      <c r="H473" s="39">
        <v>0</v>
      </c>
      <c r="I473" s="39">
        <v>0</v>
      </c>
      <c r="J473" s="39">
        <v>0</v>
      </c>
      <c r="K473" s="40">
        <f t="shared" si="64"/>
        <v>20</v>
      </c>
      <c r="L473" s="40">
        <v>20</v>
      </c>
      <c r="M473" s="40">
        <f t="shared" si="65"/>
        <v>0</v>
      </c>
      <c r="N473" s="41">
        <f t="shared" si="66"/>
        <v>1</v>
      </c>
      <c r="O473" s="58" t="s">
        <v>499</v>
      </c>
    </row>
    <row r="474" spans="1:15" s="3" customFormat="1" ht="30" customHeight="1" x14ac:dyDescent="0.5">
      <c r="A474" s="3" t="s">
        <v>714</v>
      </c>
      <c r="B474" s="30">
        <v>1</v>
      </c>
      <c r="C474" s="10" t="s">
        <v>718</v>
      </c>
      <c r="D474" s="8" t="s">
        <v>721</v>
      </c>
      <c r="E474" s="42">
        <v>162</v>
      </c>
      <c r="F474" s="42">
        <f>0+10+10</f>
        <v>20</v>
      </c>
      <c r="G474" s="42">
        <v>0</v>
      </c>
      <c r="H474" s="42">
        <f>0+10+10+10</f>
        <v>30</v>
      </c>
      <c r="I474" s="42">
        <v>0</v>
      </c>
      <c r="J474" s="42">
        <v>0</v>
      </c>
      <c r="K474" s="42">
        <f t="shared" ref="K474:K512" si="67">E474-F474-G474-H474-I474-J474</f>
        <v>112</v>
      </c>
      <c r="L474" s="42">
        <v>22</v>
      </c>
      <c r="M474" s="42">
        <f t="shared" ref="M474:M512" si="68">K474-L474</f>
        <v>90</v>
      </c>
      <c r="N474" s="44">
        <f t="shared" ref="N474:N505" si="69">L474/K474</f>
        <v>0.19642857142857142</v>
      </c>
      <c r="O474" s="54" t="s">
        <v>496</v>
      </c>
    </row>
    <row r="475" spans="1:15" s="3" customFormat="1" ht="30" customHeight="1" x14ac:dyDescent="0.5">
      <c r="A475" s="3" t="s">
        <v>714</v>
      </c>
      <c r="B475" s="30">
        <v>2</v>
      </c>
      <c r="C475" s="10" t="s">
        <v>803</v>
      </c>
      <c r="D475" s="8" t="s">
        <v>804</v>
      </c>
      <c r="E475" s="42">
        <f>14+30</f>
        <v>44</v>
      </c>
      <c r="F475" s="43">
        <v>0</v>
      </c>
      <c r="G475" s="43">
        <v>0</v>
      </c>
      <c r="H475" s="43">
        <v>0</v>
      </c>
      <c r="I475" s="43">
        <v>0</v>
      </c>
      <c r="J475" s="43">
        <v>0</v>
      </c>
      <c r="K475" s="42">
        <f t="shared" si="67"/>
        <v>44</v>
      </c>
      <c r="L475" s="43">
        <v>9</v>
      </c>
      <c r="M475" s="42">
        <f t="shared" si="68"/>
        <v>35</v>
      </c>
      <c r="N475" s="44">
        <f t="shared" si="69"/>
        <v>0.20454545454545456</v>
      </c>
      <c r="O475" s="54" t="s">
        <v>496</v>
      </c>
    </row>
    <row r="476" spans="1:15" s="3" customFormat="1" ht="30" customHeight="1" x14ac:dyDescent="0.5">
      <c r="A476" s="3" t="s">
        <v>714</v>
      </c>
      <c r="B476" s="30">
        <v>3</v>
      </c>
      <c r="C476" s="10" t="s">
        <v>807</v>
      </c>
      <c r="D476" s="8" t="s">
        <v>808</v>
      </c>
      <c r="E476" s="42">
        <v>46</v>
      </c>
      <c r="F476" s="43">
        <v>0</v>
      </c>
      <c r="G476" s="43">
        <v>0</v>
      </c>
      <c r="H476" s="43">
        <v>0</v>
      </c>
      <c r="I476" s="43">
        <v>0</v>
      </c>
      <c r="J476" s="43">
        <v>0</v>
      </c>
      <c r="K476" s="42">
        <f t="shared" si="67"/>
        <v>46</v>
      </c>
      <c r="L476" s="43">
        <v>11</v>
      </c>
      <c r="M476" s="42">
        <f t="shared" si="68"/>
        <v>35</v>
      </c>
      <c r="N476" s="44">
        <f t="shared" si="69"/>
        <v>0.2391304347826087</v>
      </c>
      <c r="O476" s="54" t="s">
        <v>496</v>
      </c>
    </row>
    <row r="477" spans="1:15" s="3" customFormat="1" ht="30" customHeight="1" x14ac:dyDescent="0.5">
      <c r="A477" s="3" t="s">
        <v>714</v>
      </c>
      <c r="B477" s="30">
        <v>4</v>
      </c>
      <c r="C477" s="10" t="s">
        <v>799</v>
      </c>
      <c r="D477" s="8" t="s">
        <v>800</v>
      </c>
      <c r="E477" s="42">
        <v>46</v>
      </c>
      <c r="F477" s="43">
        <v>0</v>
      </c>
      <c r="G477" s="43">
        <v>0</v>
      </c>
      <c r="H477" s="43">
        <v>0</v>
      </c>
      <c r="I477" s="43">
        <v>0</v>
      </c>
      <c r="J477" s="43">
        <v>0</v>
      </c>
      <c r="K477" s="42">
        <f t="shared" si="67"/>
        <v>46</v>
      </c>
      <c r="L477" s="43">
        <v>14</v>
      </c>
      <c r="M477" s="42">
        <f t="shared" si="68"/>
        <v>32</v>
      </c>
      <c r="N477" s="55">
        <f t="shared" si="69"/>
        <v>0.30434782608695654</v>
      </c>
      <c r="O477" s="21" t="s">
        <v>497</v>
      </c>
    </row>
    <row r="478" spans="1:15" s="3" customFormat="1" ht="30" customHeight="1" x14ac:dyDescent="0.5">
      <c r="A478" s="3" t="s">
        <v>714</v>
      </c>
      <c r="B478" s="30">
        <v>5</v>
      </c>
      <c r="C478" s="10" t="s">
        <v>760</v>
      </c>
      <c r="D478" s="8" t="s">
        <v>761</v>
      </c>
      <c r="E478" s="42">
        <f>10+20+20</f>
        <v>50</v>
      </c>
      <c r="F478" s="43">
        <v>0</v>
      </c>
      <c r="G478" s="43">
        <v>0</v>
      </c>
      <c r="H478" s="43">
        <v>0</v>
      </c>
      <c r="I478" s="43">
        <v>0</v>
      </c>
      <c r="J478" s="43">
        <v>0</v>
      </c>
      <c r="K478" s="42">
        <f t="shared" si="67"/>
        <v>50</v>
      </c>
      <c r="L478" s="43">
        <v>16</v>
      </c>
      <c r="M478" s="42">
        <f t="shared" si="68"/>
        <v>34</v>
      </c>
      <c r="N478" s="55">
        <f t="shared" si="69"/>
        <v>0.32</v>
      </c>
      <c r="O478" s="21" t="s">
        <v>497</v>
      </c>
    </row>
    <row r="479" spans="1:15" s="3" customFormat="1" ht="30" customHeight="1" x14ac:dyDescent="0.5">
      <c r="A479" s="3" t="s">
        <v>714</v>
      </c>
      <c r="B479" s="30">
        <v>6</v>
      </c>
      <c r="C479" s="10" t="s">
        <v>809</v>
      </c>
      <c r="D479" s="8" t="s">
        <v>765</v>
      </c>
      <c r="E479" s="42">
        <v>46</v>
      </c>
      <c r="F479" s="43">
        <v>0</v>
      </c>
      <c r="G479" s="43">
        <v>0</v>
      </c>
      <c r="H479" s="43">
        <v>0</v>
      </c>
      <c r="I479" s="43">
        <v>0</v>
      </c>
      <c r="J479" s="43">
        <v>0</v>
      </c>
      <c r="K479" s="42">
        <f t="shared" si="67"/>
        <v>46</v>
      </c>
      <c r="L479" s="43">
        <v>17</v>
      </c>
      <c r="M479" s="42">
        <f t="shared" si="68"/>
        <v>29</v>
      </c>
      <c r="N479" s="55">
        <f t="shared" si="69"/>
        <v>0.36956521739130432</v>
      </c>
      <c r="O479" s="21" t="s">
        <v>497</v>
      </c>
    </row>
    <row r="480" spans="1:15" s="3" customFormat="1" ht="30" customHeight="1" x14ac:dyDescent="0.5">
      <c r="A480" s="3" t="s">
        <v>714</v>
      </c>
      <c r="B480" s="30">
        <v>7</v>
      </c>
      <c r="C480" s="10" t="s">
        <v>785</v>
      </c>
      <c r="D480" s="8" t="s">
        <v>786</v>
      </c>
      <c r="E480" s="42">
        <v>46</v>
      </c>
      <c r="F480" s="43">
        <v>0</v>
      </c>
      <c r="G480" s="43">
        <v>0</v>
      </c>
      <c r="H480" s="43">
        <v>0</v>
      </c>
      <c r="I480" s="43">
        <v>0</v>
      </c>
      <c r="J480" s="43">
        <v>0</v>
      </c>
      <c r="K480" s="42">
        <f t="shared" si="67"/>
        <v>46</v>
      </c>
      <c r="L480" s="43">
        <v>18</v>
      </c>
      <c r="M480" s="42">
        <f t="shared" si="68"/>
        <v>28</v>
      </c>
      <c r="N480" s="55">
        <f t="shared" si="69"/>
        <v>0.39130434782608697</v>
      </c>
      <c r="O480" s="21" t="s">
        <v>497</v>
      </c>
    </row>
    <row r="481" spans="1:15" s="3" customFormat="1" ht="30" customHeight="1" x14ac:dyDescent="0.5">
      <c r="A481" s="3" t="s">
        <v>714</v>
      </c>
      <c r="B481" s="30">
        <v>8</v>
      </c>
      <c r="C481" s="10" t="s">
        <v>797</v>
      </c>
      <c r="D481" s="8" t="s">
        <v>798</v>
      </c>
      <c r="E481" s="42">
        <v>60</v>
      </c>
      <c r="F481" s="43">
        <v>0</v>
      </c>
      <c r="G481" s="43">
        <v>0</v>
      </c>
      <c r="H481" s="43">
        <v>0</v>
      </c>
      <c r="I481" s="43">
        <v>0</v>
      </c>
      <c r="J481" s="43">
        <v>0</v>
      </c>
      <c r="K481" s="42">
        <f t="shared" si="67"/>
        <v>60</v>
      </c>
      <c r="L481" s="43">
        <v>25</v>
      </c>
      <c r="M481" s="42">
        <f t="shared" si="68"/>
        <v>35</v>
      </c>
      <c r="N481" s="55">
        <f t="shared" si="69"/>
        <v>0.41666666666666669</v>
      </c>
      <c r="O481" s="21" t="s">
        <v>497</v>
      </c>
    </row>
    <row r="482" spans="1:15" s="3" customFormat="1" ht="30" customHeight="1" x14ac:dyDescent="0.5">
      <c r="A482" s="3" t="s">
        <v>714</v>
      </c>
      <c r="B482" s="30">
        <v>9</v>
      </c>
      <c r="C482" s="10" t="s">
        <v>777</v>
      </c>
      <c r="D482" s="8" t="s">
        <v>778</v>
      </c>
      <c r="E482" s="42">
        <f>60+10</f>
        <v>70</v>
      </c>
      <c r="F482" s="43">
        <v>0</v>
      </c>
      <c r="G482" s="43">
        <v>0</v>
      </c>
      <c r="H482" s="43">
        <v>0</v>
      </c>
      <c r="I482" s="43">
        <v>0</v>
      </c>
      <c r="J482" s="43">
        <v>0</v>
      </c>
      <c r="K482" s="42">
        <f t="shared" si="67"/>
        <v>70</v>
      </c>
      <c r="L482" s="43">
        <v>30</v>
      </c>
      <c r="M482" s="42">
        <f t="shared" si="68"/>
        <v>40</v>
      </c>
      <c r="N482" s="55">
        <f t="shared" si="69"/>
        <v>0.42857142857142855</v>
      </c>
      <c r="O482" s="21" t="s">
        <v>497</v>
      </c>
    </row>
    <row r="483" spans="1:15" s="3" customFormat="1" ht="30" customHeight="1" x14ac:dyDescent="0.5">
      <c r="A483" s="3" t="s">
        <v>714</v>
      </c>
      <c r="B483" s="30">
        <v>10</v>
      </c>
      <c r="C483" s="10" t="s">
        <v>793</v>
      </c>
      <c r="D483" s="8" t="s">
        <v>794</v>
      </c>
      <c r="E483" s="42">
        <f>50+5+5</f>
        <v>60</v>
      </c>
      <c r="F483" s="43">
        <v>0</v>
      </c>
      <c r="G483" s="43">
        <v>0</v>
      </c>
      <c r="H483" s="43">
        <v>0</v>
      </c>
      <c r="I483" s="43">
        <v>0</v>
      </c>
      <c r="J483" s="43">
        <v>0</v>
      </c>
      <c r="K483" s="42">
        <f t="shared" si="67"/>
        <v>60</v>
      </c>
      <c r="L483" s="43">
        <v>26</v>
      </c>
      <c r="M483" s="42">
        <f t="shared" si="68"/>
        <v>34</v>
      </c>
      <c r="N483" s="55">
        <f t="shared" si="69"/>
        <v>0.43333333333333335</v>
      </c>
      <c r="O483" s="21" t="s">
        <v>497</v>
      </c>
    </row>
    <row r="484" spans="1:15" s="3" customFormat="1" ht="30" customHeight="1" x14ac:dyDescent="0.5">
      <c r="A484" s="3" t="s">
        <v>714</v>
      </c>
      <c r="B484" s="30">
        <f>11+2</f>
        <v>13</v>
      </c>
      <c r="C484" s="10" t="s">
        <v>787</v>
      </c>
      <c r="D484" s="8" t="s">
        <v>788</v>
      </c>
      <c r="E484" s="42">
        <f>10+20+40</f>
        <v>70</v>
      </c>
      <c r="F484" s="43">
        <v>0</v>
      </c>
      <c r="G484" s="43">
        <v>0</v>
      </c>
      <c r="H484" s="43">
        <v>0</v>
      </c>
      <c r="I484" s="43">
        <v>0</v>
      </c>
      <c r="J484" s="43">
        <v>0</v>
      </c>
      <c r="K484" s="42">
        <f t="shared" si="67"/>
        <v>70</v>
      </c>
      <c r="L484" s="43">
        <v>31</v>
      </c>
      <c r="M484" s="42">
        <f t="shared" si="68"/>
        <v>39</v>
      </c>
      <c r="N484" s="55">
        <f t="shared" si="69"/>
        <v>0.44285714285714284</v>
      </c>
      <c r="O484" s="21" t="s">
        <v>497</v>
      </c>
    </row>
    <row r="485" spans="1:15" s="3" customFormat="1" ht="30" customHeight="1" x14ac:dyDescent="0.5">
      <c r="A485" s="3" t="s">
        <v>714</v>
      </c>
      <c r="B485" s="30">
        <v>12</v>
      </c>
      <c r="C485" s="10" t="s">
        <v>739</v>
      </c>
      <c r="D485" s="8" t="s">
        <v>740</v>
      </c>
      <c r="E485" s="42">
        <f>20+30+60</f>
        <v>110</v>
      </c>
      <c r="F485" s="43">
        <v>0</v>
      </c>
      <c r="G485" s="43">
        <v>0</v>
      </c>
      <c r="H485" s="43">
        <v>0</v>
      </c>
      <c r="I485" s="43">
        <v>0</v>
      </c>
      <c r="J485" s="43">
        <v>0</v>
      </c>
      <c r="K485" s="42">
        <f t="shared" si="67"/>
        <v>110</v>
      </c>
      <c r="L485" s="43">
        <v>52</v>
      </c>
      <c r="M485" s="42">
        <f t="shared" si="68"/>
        <v>58</v>
      </c>
      <c r="N485" s="55">
        <f t="shared" si="69"/>
        <v>0.47272727272727272</v>
      </c>
      <c r="O485" s="21" t="s">
        <v>497</v>
      </c>
    </row>
    <row r="486" spans="1:15" s="3" customFormat="1" ht="30" customHeight="1" x14ac:dyDescent="0.5">
      <c r="A486" s="3" t="s">
        <v>714</v>
      </c>
      <c r="B486" s="30">
        <v>13</v>
      </c>
      <c r="C486" s="10" t="s">
        <v>738</v>
      </c>
      <c r="D486" s="8" t="s">
        <v>305</v>
      </c>
      <c r="E486" s="42">
        <v>110</v>
      </c>
      <c r="F486" s="43">
        <v>0</v>
      </c>
      <c r="G486" s="43">
        <v>0</v>
      </c>
      <c r="H486" s="43">
        <v>0</v>
      </c>
      <c r="I486" s="43">
        <v>0</v>
      </c>
      <c r="J486" s="43">
        <v>0</v>
      </c>
      <c r="K486" s="42">
        <f t="shared" si="67"/>
        <v>110</v>
      </c>
      <c r="L486" s="43">
        <v>55</v>
      </c>
      <c r="M486" s="42">
        <f t="shared" si="68"/>
        <v>55</v>
      </c>
      <c r="N486" s="55">
        <f t="shared" si="69"/>
        <v>0.5</v>
      </c>
      <c r="O486" s="21" t="s">
        <v>497</v>
      </c>
    </row>
    <row r="487" spans="1:15" s="3" customFormat="1" ht="30" customHeight="1" x14ac:dyDescent="0.5">
      <c r="A487" s="3" t="s">
        <v>714</v>
      </c>
      <c r="B487" s="30">
        <v>14</v>
      </c>
      <c r="C487" s="10" t="s">
        <v>766</v>
      </c>
      <c r="D487" s="8" t="s">
        <v>767</v>
      </c>
      <c r="E487" s="42">
        <v>60</v>
      </c>
      <c r="F487" s="43">
        <v>0</v>
      </c>
      <c r="G487" s="43">
        <v>0</v>
      </c>
      <c r="H487" s="43">
        <v>0</v>
      </c>
      <c r="I487" s="43">
        <v>0</v>
      </c>
      <c r="J487" s="43">
        <v>0</v>
      </c>
      <c r="K487" s="42">
        <f t="shared" si="67"/>
        <v>60</v>
      </c>
      <c r="L487" s="43">
        <v>30</v>
      </c>
      <c r="M487" s="42">
        <f t="shared" si="68"/>
        <v>30</v>
      </c>
      <c r="N487" s="55">
        <f t="shared" si="69"/>
        <v>0.5</v>
      </c>
      <c r="O487" s="21" t="s">
        <v>497</v>
      </c>
    </row>
    <row r="488" spans="1:15" s="3" customFormat="1" ht="30" customHeight="1" x14ac:dyDescent="0.5">
      <c r="A488" s="3" t="s">
        <v>714</v>
      </c>
      <c r="B488" s="30">
        <v>15</v>
      </c>
      <c r="C488" s="10" t="s">
        <v>741</v>
      </c>
      <c r="D488" s="8" t="s">
        <v>309</v>
      </c>
      <c r="E488" s="42">
        <v>110</v>
      </c>
      <c r="F488" s="43">
        <v>0</v>
      </c>
      <c r="G488" s="43">
        <v>0</v>
      </c>
      <c r="H488" s="43">
        <v>0</v>
      </c>
      <c r="I488" s="43">
        <v>0</v>
      </c>
      <c r="J488" s="43">
        <v>0</v>
      </c>
      <c r="K488" s="42">
        <f t="shared" si="67"/>
        <v>110</v>
      </c>
      <c r="L488" s="43">
        <v>56</v>
      </c>
      <c r="M488" s="42">
        <f t="shared" si="68"/>
        <v>54</v>
      </c>
      <c r="N488" s="55">
        <f t="shared" si="69"/>
        <v>0.50909090909090904</v>
      </c>
      <c r="O488" s="21" t="s">
        <v>497</v>
      </c>
    </row>
    <row r="489" spans="1:15" s="3" customFormat="1" ht="30" customHeight="1" x14ac:dyDescent="0.5">
      <c r="A489" s="3" t="s">
        <v>714</v>
      </c>
      <c r="B489" s="30">
        <v>16</v>
      </c>
      <c r="C489" s="10" t="s">
        <v>791</v>
      </c>
      <c r="D489" s="8" t="s">
        <v>792</v>
      </c>
      <c r="E489" s="42">
        <v>46</v>
      </c>
      <c r="F489" s="43">
        <v>0</v>
      </c>
      <c r="G489" s="43">
        <v>0</v>
      </c>
      <c r="H489" s="43">
        <v>0</v>
      </c>
      <c r="I489" s="43">
        <v>0</v>
      </c>
      <c r="J489" s="43">
        <v>0</v>
      </c>
      <c r="K489" s="42">
        <f t="shared" si="67"/>
        <v>46</v>
      </c>
      <c r="L489" s="43">
        <v>25</v>
      </c>
      <c r="M489" s="42">
        <f t="shared" si="68"/>
        <v>21</v>
      </c>
      <c r="N489" s="46">
        <f t="shared" si="69"/>
        <v>0.54347826086956519</v>
      </c>
      <c r="O489" s="34" t="s">
        <v>498</v>
      </c>
    </row>
    <row r="490" spans="1:15" s="3" customFormat="1" ht="30" customHeight="1" x14ac:dyDescent="0.5">
      <c r="A490" s="3" t="s">
        <v>714</v>
      </c>
      <c r="B490" s="30">
        <v>17</v>
      </c>
      <c r="C490" s="10" t="s">
        <v>789</v>
      </c>
      <c r="D490" s="8" t="s">
        <v>790</v>
      </c>
      <c r="E490" s="42">
        <v>60</v>
      </c>
      <c r="F490" s="43">
        <v>0</v>
      </c>
      <c r="G490" s="43">
        <v>0</v>
      </c>
      <c r="H490" s="43">
        <v>10</v>
      </c>
      <c r="I490" s="43">
        <v>0</v>
      </c>
      <c r="J490" s="43">
        <v>0</v>
      </c>
      <c r="K490" s="42">
        <f t="shared" si="67"/>
        <v>50</v>
      </c>
      <c r="L490" s="43">
        <v>28</v>
      </c>
      <c r="M490" s="42">
        <f t="shared" si="68"/>
        <v>22</v>
      </c>
      <c r="N490" s="46">
        <f t="shared" si="69"/>
        <v>0.56000000000000005</v>
      </c>
      <c r="O490" s="34" t="s">
        <v>498</v>
      </c>
    </row>
    <row r="491" spans="1:15" s="3" customFormat="1" ht="31.5" customHeight="1" x14ac:dyDescent="0.5">
      <c r="A491" s="3" t="s">
        <v>714</v>
      </c>
      <c r="B491" s="30">
        <v>18</v>
      </c>
      <c r="C491" s="10" t="s">
        <v>746</v>
      </c>
      <c r="D491" s="8" t="s">
        <v>327</v>
      </c>
      <c r="E491" s="42">
        <v>80</v>
      </c>
      <c r="F491" s="43">
        <v>0</v>
      </c>
      <c r="G491" s="43">
        <v>0</v>
      </c>
      <c r="H491" s="43">
        <v>0</v>
      </c>
      <c r="I491" s="43">
        <v>0</v>
      </c>
      <c r="J491" s="43">
        <v>0</v>
      </c>
      <c r="K491" s="42">
        <f t="shared" si="67"/>
        <v>80</v>
      </c>
      <c r="L491" s="43">
        <v>48</v>
      </c>
      <c r="M491" s="42">
        <f t="shared" si="68"/>
        <v>32</v>
      </c>
      <c r="N491" s="46">
        <f t="shared" si="69"/>
        <v>0.6</v>
      </c>
      <c r="O491" s="34" t="s">
        <v>498</v>
      </c>
    </row>
    <row r="492" spans="1:15" s="3" customFormat="1" ht="30" customHeight="1" x14ac:dyDescent="0.5">
      <c r="A492" s="3" t="s">
        <v>714</v>
      </c>
      <c r="B492" s="30">
        <v>19</v>
      </c>
      <c r="C492" s="10" t="s">
        <v>772</v>
      </c>
      <c r="D492" s="8" t="s">
        <v>740</v>
      </c>
      <c r="E492" s="42">
        <f>20+30+70</f>
        <v>120</v>
      </c>
      <c r="F492" s="43">
        <v>0</v>
      </c>
      <c r="G492" s="43">
        <v>0</v>
      </c>
      <c r="H492" s="43">
        <v>0</v>
      </c>
      <c r="I492" s="43">
        <v>0</v>
      </c>
      <c r="J492" s="43">
        <v>0</v>
      </c>
      <c r="K492" s="42">
        <f t="shared" si="67"/>
        <v>120</v>
      </c>
      <c r="L492" s="43">
        <v>74</v>
      </c>
      <c r="M492" s="42">
        <f t="shared" si="68"/>
        <v>46</v>
      </c>
      <c r="N492" s="46">
        <f t="shared" si="69"/>
        <v>0.6166666666666667</v>
      </c>
      <c r="O492" s="34" t="s">
        <v>498</v>
      </c>
    </row>
    <row r="493" spans="1:15" s="3" customFormat="1" ht="30" customHeight="1" x14ac:dyDescent="0.5">
      <c r="A493" s="3" t="s">
        <v>714</v>
      </c>
      <c r="B493" s="30">
        <v>20</v>
      </c>
      <c r="C493" s="10" t="s">
        <v>747</v>
      </c>
      <c r="D493" s="8" t="s">
        <v>329</v>
      </c>
      <c r="E493" s="42">
        <v>170</v>
      </c>
      <c r="F493" s="43">
        <v>0</v>
      </c>
      <c r="G493" s="43">
        <v>0</v>
      </c>
      <c r="H493" s="43">
        <v>0</v>
      </c>
      <c r="I493" s="43">
        <v>0</v>
      </c>
      <c r="J493" s="43">
        <v>0</v>
      </c>
      <c r="K493" s="42">
        <f t="shared" si="67"/>
        <v>170</v>
      </c>
      <c r="L493" s="43">
        <v>108</v>
      </c>
      <c r="M493" s="42">
        <f t="shared" si="68"/>
        <v>62</v>
      </c>
      <c r="N493" s="46">
        <f t="shared" si="69"/>
        <v>0.63529411764705879</v>
      </c>
      <c r="O493" s="34" t="s">
        <v>498</v>
      </c>
    </row>
    <row r="494" spans="1:15" s="3" customFormat="1" ht="30" customHeight="1" x14ac:dyDescent="0.5">
      <c r="A494" s="3" t="s">
        <v>714</v>
      </c>
      <c r="B494" s="30">
        <v>21</v>
      </c>
      <c r="C494" s="10" t="s">
        <v>744</v>
      </c>
      <c r="D494" s="8" t="s">
        <v>319</v>
      </c>
      <c r="E494" s="42">
        <f>20+30+70</f>
        <v>120</v>
      </c>
      <c r="F494" s="43">
        <v>0</v>
      </c>
      <c r="G494" s="43">
        <v>0</v>
      </c>
      <c r="H494" s="43">
        <v>0</v>
      </c>
      <c r="I494" s="43">
        <v>0</v>
      </c>
      <c r="J494" s="43">
        <v>0</v>
      </c>
      <c r="K494" s="42">
        <f t="shared" si="67"/>
        <v>120</v>
      </c>
      <c r="L494" s="43">
        <v>77</v>
      </c>
      <c r="M494" s="42">
        <f t="shared" si="68"/>
        <v>43</v>
      </c>
      <c r="N494" s="46">
        <f t="shared" si="69"/>
        <v>0.64166666666666672</v>
      </c>
      <c r="O494" s="34" t="s">
        <v>498</v>
      </c>
    </row>
    <row r="495" spans="1:15" s="3" customFormat="1" ht="30" customHeight="1" x14ac:dyDescent="0.5">
      <c r="A495" s="3" t="s">
        <v>714</v>
      </c>
      <c r="B495" s="30">
        <v>22</v>
      </c>
      <c r="C495" s="10" t="s">
        <v>737</v>
      </c>
      <c r="D495" s="8" t="s">
        <v>303</v>
      </c>
      <c r="E495" s="42">
        <f>20+20+70+30+30</f>
        <v>170</v>
      </c>
      <c r="F495" s="43">
        <v>0</v>
      </c>
      <c r="G495" s="43">
        <v>0</v>
      </c>
      <c r="H495" s="43">
        <v>0</v>
      </c>
      <c r="I495" s="43">
        <v>0</v>
      </c>
      <c r="J495" s="43">
        <v>0</v>
      </c>
      <c r="K495" s="42">
        <f t="shared" si="67"/>
        <v>170</v>
      </c>
      <c r="L495" s="43">
        <v>117</v>
      </c>
      <c r="M495" s="42">
        <f t="shared" si="68"/>
        <v>53</v>
      </c>
      <c r="N495" s="46">
        <f t="shared" si="69"/>
        <v>0.68823529411764706</v>
      </c>
      <c r="O495" s="34" t="s">
        <v>498</v>
      </c>
    </row>
    <row r="496" spans="1:15" s="3" customFormat="1" ht="30" customHeight="1" x14ac:dyDescent="0.5">
      <c r="A496" s="3" t="s">
        <v>714</v>
      </c>
      <c r="B496" s="30">
        <v>23</v>
      </c>
      <c r="C496" s="10" t="s">
        <v>743</v>
      </c>
      <c r="D496" s="8" t="s">
        <v>313</v>
      </c>
      <c r="E496" s="42">
        <v>100</v>
      </c>
      <c r="F496" s="43">
        <v>0</v>
      </c>
      <c r="G496" s="43">
        <v>0</v>
      </c>
      <c r="H496" s="43">
        <v>0</v>
      </c>
      <c r="I496" s="43">
        <v>0</v>
      </c>
      <c r="J496" s="43">
        <v>0</v>
      </c>
      <c r="K496" s="42">
        <f t="shared" si="67"/>
        <v>100</v>
      </c>
      <c r="L496" s="43">
        <v>71</v>
      </c>
      <c r="M496" s="42">
        <f t="shared" si="68"/>
        <v>29</v>
      </c>
      <c r="N496" s="46">
        <f t="shared" si="69"/>
        <v>0.71</v>
      </c>
      <c r="O496" s="34" t="s">
        <v>498</v>
      </c>
    </row>
    <row r="497" spans="1:15" s="3" customFormat="1" ht="30" customHeight="1" x14ac:dyDescent="0.5">
      <c r="A497" s="3" t="s">
        <v>714</v>
      </c>
      <c r="B497" s="30">
        <v>24</v>
      </c>
      <c r="C497" s="10" t="s">
        <v>762</v>
      </c>
      <c r="D497" s="8" t="s">
        <v>763</v>
      </c>
      <c r="E497" s="42">
        <f>60+10</f>
        <v>70</v>
      </c>
      <c r="F497" s="43">
        <v>0</v>
      </c>
      <c r="G497" s="43">
        <v>0</v>
      </c>
      <c r="H497" s="43">
        <v>0</v>
      </c>
      <c r="I497" s="43">
        <v>0</v>
      </c>
      <c r="J497" s="43">
        <v>0</v>
      </c>
      <c r="K497" s="42">
        <f t="shared" si="67"/>
        <v>70</v>
      </c>
      <c r="L497" s="43">
        <v>52</v>
      </c>
      <c r="M497" s="42">
        <f t="shared" si="68"/>
        <v>18</v>
      </c>
      <c r="N497" s="46">
        <f t="shared" si="69"/>
        <v>0.74285714285714288</v>
      </c>
      <c r="O497" s="34" t="s">
        <v>498</v>
      </c>
    </row>
    <row r="498" spans="1:15" s="3" customFormat="1" ht="30" customHeight="1" x14ac:dyDescent="0.5">
      <c r="A498" s="3" t="s">
        <v>714</v>
      </c>
      <c r="B498" s="30">
        <v>25</v>
      </c>
      <c r="C498" s="10" t="s">
        <v>716</v>
      </c>
      <c r="D498" s="8" t="s">
        <v>720</v>
      </c>
      <c r="E498" s="42">
        <f>162+20</f>
        <v>182</v>
      </c>
      <c r="F498" s="42">
        <f>0+10+10</f>
        <v>20</v>
      </c>
      <c r="G498" s="42">
        <v>0</v>
      </c>
      <c r="H498" s="42">
        <f>0+10+10+10</f>
        <v>30</v>
      </c>
      <c r="I498" s="42">
        <v>0</v>
      </c>
      <c r="J498" s="42">
        <v>0</v>
      </c>
      <c r="K498" s="42">
        <f t="shared" si="67"/>
        <v>132</v>
      </c>
      <c r="L498" s="42">
        <v>101</v>
      </c>
      <c r="M498" s="42">
        <f t="shared" si="68"/>
        <v>31</v>
      </c>
      <c r="N498" s="52">
        <f t="shared" si="69"/>
        <v>0.76515151515151514</v>
      </c>
      <c r="O498" s="36" t="s">
        <v>495</v>
      </c>
    </row>
    <row r="499" spans="1:15" s="3" customFormat="1" ht="30" customHeight="1" x14ac:dyDescent="0.5">
      <c r="A499" s="3" t="s">
        <v>714</v>
      </c>
      <c r="B499" s="30">
        <v>26</v>
      </c>
      <c r="C499" s="10" t="s">
        <v>801</v>
      </c>
      <c r="D499" s="8" t="s">
        <v>802</v>
      </c>
      <c r="E499" s="42">
        <v>60</v>
      </c>
      <c r="F499" s="43">
        <v>0</v>
      </c>
      <c r="G499" s="43">
        <v>0</v>
      </c>
      <c r="H499" s="43">
        <v>0</v>
      </c>
      <c r="I499" s="43">
        <v>0</v>
      </c>
      <c r="J499" s="43">
        <v>0</v>
      </c>
      <c r="K499" s="42">
        <f t="shared" si="67"/>
        <v>60</v>
      </c>
      <c r="L499" s="43">
        <v>47</v>
      </c>
      <c r="M499" s="42">
        <f t="shared" si="68"/>
        <v>13</v>
      </c>
      <c r="N499" s="52">
        <f t="shared" si="69"/>
        <v>0.78333333333333333</v>
      </c>
      <c r="O499" s="36" t="s">
        <v>495</v>
      </c>
    </row>
    <row r="500" spans="1:15" s="3" customFormat="1" ht="30" customHeight="1" x14ac:dyDescent="0.5">
      <c r="A500" s="3" t="s">
        <v>714</v>
      </c>
      <c r="B500" s="30">
        <v>27</v>
      </c>
      <c r="C500" s="10" t="s">
        <v>770</v>
      </c>
      <c r="D500" s="8" t="s">
        <v>771</v>
      </c>
      <c r="E500" s="42">
        <f>100+30+30</f>
        <v>160</v>
      </c>
      <c r="F500" s="43">
        <v>0</v>
      </c>
      <c r="G500" s="43">
        <v>0</v>
      </c>
      <c r="H500" s="43">
        <v>0</v>
      </c>
      <c r="I500" s="43">
        <v>0</v>
      </c>
      <c r="J500" s="43">
        <v>0</v>
      </c>
      <c r="K500" s="42">
        <f t="shared" si="67"/>
        <v>160</v>
      </c>
      <c r="L500" s="43">
        <v>127</v>
      </c>
      <c r="M500" s="42">
        <f t="shared" si="68"/>
        <v>33</v>
      </c>
      <c r="N500" s="52">
        <f t="shared" si="69"/>
        <v>0.79374999999999996</v>
      </c>
      <c r="O500" s="36" t="s">
        <v>495</v>
      </c>
    </row>
    <row r="501" spans="1:15" s="3" customFormat="1" ht="30" customHeight="1" x14ac:dyDescent="0.5">
      <c r="A501" s="3" t="s">
        <v>714</v>
      </c>
      <c r="B501" s="30">
        <v>28</v>
      </c>
      <c r="C501" s="10" t="s">
        <v>734</v>
      </c>
      <c r="D501" s="8" t="s">
        <v>293</v>
      </c>
      <c r="E501" s="42">
        <f>10+10+5+100</f>
        <v>125</v>
      </c>
      <c r="F501" s="43">
        <v>0</v>
      </c>
      <c r="G501" s="43">
        <v>0</v>
      </c>
      <c r="H501" s="43">
        <v>0</v>
      </c>
      <c r="I501" s="43">
        <v>0</v>
      </c>
      <c r="J501" s="43">
        <v>0</v>
      </c>
      <c r="K501" s="42">
        <f t="shared" si="67"/>
        <v>125</v>
      </c>
      <c r="L501" s="43">
        <v>100</v>
      </c>
      <c r="M501" s="42">
        <f t="shared" si="68"/>
        <v>25</v>
      </c>
      <c r="N501" s="52">
        <f t="shared" si="69"/>
        <v>0.8</v>
      </c>
      <c r="O501" s="36" t="s">
        <v>495</v>
      </c>
    </row>
    <row r="502" spans="1:15" s="3" customFormat="1" ht="30" customHeight="1" x14ac:dyDescent="0.5">
      <c r="A502" s="3" t="s">
        <v>714</v>
      </c>
      <c r="B502" s="30">
        <v>29</v>
      </c>
      <c r="C502" s="10" t="s">
        <v>735</v>
      </c>
      <c r="D502" s="8" t="s">
        <v>295</v>
      </c>
      <c r="E502" s="42">
        <f>20+30+50+20+20</f>
        <v>140</v>
      </c>
      <c r="F502" s="43">
        <v>0</v>
      </c>
      <c r="G502" s="43">
        <v>0</v>
      </c>
      <c r="H502" s="43">
        <v>0</v>
      </c>
      <c r="I502" s="43">
        <v>0</v>
      </c>
      <c r="J502" s="43">
        <v>0</v>
      </c>
      <c r="K502" s="42">
        <f t="shared" si="67"/>
        <v>140</v>
      </c>
      <c r="L502" s="43">
        <v>112</v>
      </c>
      <c r="M502" s="42">
        <f t="shared" si="68"/>
        <v>28</v>
      </c>
      <c r="N502" s="52">
        <f t="shared" si="69"/>
        <v>0.8</v>
      </c>
      <c r="O502" s="36" t="s">
        <v>495</v>
      </c>
    </row>
    <row r="503" spans="1:15" s="3" customFormat="1" ht="30" customHeight="1" x14ac:dyDescent="0.5">
      <c r="A503" s="3" t="s">
        <v>714</v>
      </c>
      <c r="B503" s="30">
        <v>30</v>
      </c>
      <c r="C503" s="10" t="s">
        <v>736</v>
      </c>
      <c r="D503" s="8" t="s">
        <v>299</v>
      </c>
      <c r="E503" s="42">
        <f>20+20+70</f>
        <v>110</v>
      </c>
      <c r="F503" s="43">
        <v>0</v>
      </c>
      <c r="G503" s="43">
        <v>0</v>
      </c>
      <c r="H503" s="43">
        <v>0</v>
      </c>
      <c r="I503" s="43">
        <v>0</v>
      </c>
      <c r="J503" s="43">
        <v>0</v>
      </c>
      <c r="K503" s="42">
        <f t="shared" si="67"/>
        <v>110</v>
      </c>
      <c r="L503" s="43">
        <v>90</v>
      </c>
      <c r="M503" s="42">
        <f t="shared" si="68"/>
        <v>20</v>
      </c>
      <c r="N503" s="52">
        <f t="shared" si="69"/>
        <v>0.81818181818181823</v>
      </c>
      <c r="O503" s="36" t="s">
        <v>495</v>
      </c>
    </row>
    <row r="504" spans="1:15" s="3" customFormat="1" ht="30" customHeight="1" x14ac:dyDescent="0.5">
      <c r="A504" s="3" t="s">
        <v>714</v>
      </c>
      <c r="B504" s="30">
        <v>31</v>
      </c>
      <c r="C504" s="10" t="s">
        <v>758</v>
      </c>
      <c r="D504" s="8" t="s">
        <v>759</v>
      </c>
      <c r="E504" s="42">
        <v>100</v>
      </c>
      <c r="F504" s="43">
        <v>0</v>
      </c>
      <c r="G504" s="43">
        <v>0</v>
      </c>
      <c r="H504" s="43">
        <v>0</v>
      </c>
      <c r="I504" s="43">
        <v>0</v>
      </c>
      <c r="J504" s="43">
        <v>0</v>
      </c>
      <c r="K504" s="42">
        <f t="shared" si="67"/>
        <v>100</v>
      </c>
      <c r="L504" s="43">
        <v>82</v>
      </c>
      <c r="M504" s="42">
        <f t="shared" si="68"/>
        <v>18</v>
      </c>
      <c r="N504" s="52">
        <f t="shared" si="69"/>
        <v>0.82</v>
      </c>
      <c r="O504" s="36" t="s">
        <v>495</v>
      </c>
    </row>
    <row r="505" spans="1:15" s="3" customFormat="1" ht="30" customHeight="1" x14ac:dyDescent="0.5">
      <c r="A505" s="3" t="s">
        <v>714</v>
      </c>
      <c r="B505" s="30">
        <v>32</v>
      </c>
      <c r="C505" s="10" t="s">
        <v>768</v>
      </c>
      <c r="D505" s="8" t="s">
        <v>769</v>
      </c>
      <c r="E505" s="42">
        <f>20+30+70+80+30</f>
        <v>230</v>
      </c>
      <c r="F505" s="43">
        <v>0</v>
      </c>
      <c r="G505" s="43">
        <v>0</v>
      </c>
      <c r="H505" s="43">
        <v>10</v>
      </c>
      <c r="I505" s="43">
        <v>0</v>
      </c>
      <c r="J505" s="43">
        <v>0</v>
      </c>
      <c r="K505" s="42">
        <f t="shared" si="67"/>
        <v>220</v>
      </c>
      <c r="L505" s="43">
        <v>185</v>
      </c>
      <c r="M505" s="42">
        <f t="shared" si="68"/>
        <v>35</v>
      </c>
      <c r="N505" s="52">
        <f t="shared" si="69"/>
        <v>0.84090909090909094</v>
      </c>
      <c r="O505" s="36" t="s">
        <v>495</v>
      </c>
    </row>
    <row r="506" spans="1:15" s="3" customFormat="1" ht="30" customHeight="1" x14ac:dyDescent="0.5">
      <c r="A506" s="3" t="s">
        <v>714</v>
      </c>
      <c r="B506" s="30">
        <v>33</v>
      </c>
      <c r="C506" s="10" t="s">
        <v>773</v>
      </c>
      <c r="D506" s="8" t="s">
        <v>774</v>
      </c>
      <c r="E506" s="42">
        <f>100+30+20</f>
        <v>150</v>
      </c>
      <c r="F506" s="43">
        <v>0</v>
      </c>
      <c r="G506" s="43">
        <v>0</v>
      </c>
      <c r="H506" s="43">
        <v>0</v>
      </c>
      <c r="I506" s="43">
        <v>0</v>
      </c>
      <c r="J506" s="43">
        <v>0</v>
      </c>
      <c r="K506" s="42">
        <f t="shared" si="67"/>
        <v>150</v>
      </c>
      <c r="L506" s="43">
        <v>128</v>
      </c>
      <c r="M506" s="42">
        <f t="shared" si="68"/>
        <v>22</v>
      </c>
      <c r="N506" s="52">
        <f t="shared" ref="N506:N526" si="70">L506/K506</f>
        <v>0.85333333333333339</v>
      </c>
      <c r="O506" s="36" t="s">
        <v>495</v>
      </c>
    </row>
    <row r="507" spans="1:15" s="3" customFormat="1" ht="30" customHeight="1" x14ac:dyDescent="0.5">
      <c r="A507" s="3" t="s">
        <v>714</v>
      </c>
      <c r="B507" s="18">
        <v>34</v>
      </c>
      <c r="C507" s="10" t="s">
        <v>783</v>
      </c>
      <c r="D507" s="8" t="s">
        <v>784</v>
      </c>
      <c r="E507" s="42">
        <f>80+100</f>
        <v>180</v>
      </c>
      <c r="F507" s="43">
        <v>0</v>
      </c>
      <c r="G507" s="43">
        <v>0</v>
      </c>
      <c r="H507" s="43">
        <v>0</v>
      </c>
      <c r="I507" s="43">
        <v>0</v>
      </c>
      <c r="J507" s="43">
        <v>0</v>
      </c>
      <c r="K507" s="42">
        <f t="shared" si="67"/>
        <v>180</v>
      </c>
      <c r="L507" s="43">
        <v>155</v>
      </c>
      <c r="M507" s="42">
        <f t="shared" si="68"/>
        <v>25</v>
      </c>
      <c r="N507" s="52">
        <f t="shared" si="70"/>
        <v>0.86111111111111116</v>
      </c>
      <c r="O507" s="36" t="s">
        <v>495</v>
      </c>
    </row>
    <row r="508" spans="1:15" s="3" customFormat="1" ht="30" customHeight="1" x14ac:dyDescent="0.5">
      <c r="A508" s="3" t="s">
        <v>714</v>
      </c>
      <c r="B508" s="18">
        <v>35</v>
      </c>
      <c r="C508" s="10" t="s">
        <v>756</v>
      </c>
      <c r="D508" s="8" t="s">
        <v>757</v>
      </c>
      <c r="E508" s="42">
        <f>60+10</f>
        <v>70</v>
      </c>
      <c r="F508" s="43">
        <v>0</v>
      </c>
      <c r="G508" s="43">
        <v>0</v>
      </c>
      <c r="H508" s="43">
        <v>0</v>
      </c>
      <c r="I508" s="43">
        <v>0</v>
      </c>
      <c r="J508" s="43">
        <v>0</v>
      </c>
      <c r="K508" s="42">
        <f t="shared" si="67"/>
        <v>70</v>
      </c>
      <c r="L508" s="43">
        <v>62</v>
      </c>
      <c r="M508" s="42">
        <f t="shared" si="68"/>
        <v>8</v>
      </c>
      <c r="N508" s="52">
        <f t="shared" si="70"/>
        <v>0.88571428571428568</v>
      </c>
      <c r="O508" s="36" t="s">
        <v>495</v>
      </c>
    </row>
    <row r="509" spans="1:15" s="3" customFormat="1" ht="30" customHeight="1" x14ac:dyDescent="0.5">
      <c r="A509" s="3" t="s">
        <v>714</v>
      </c>
      <c r="B509" s="18">
        <v>36</v>
      </c>
      <c r="C509" s="10" t="s">
        <v>733</v>
      </c>
      <c r="D509" s="8" t="s">
        <v>291</v>
      </c>
      <c r="E509" s="42">
        <v>210</v>
      </c>
      <c r="F509" s="43">
        <v>0</v>
      </c>
      <c r="G509" s="43">
        <v>0</v>
      </c>
      <c r="H509" s="43">
        <v>0</v>
      </c>
      <c r="I509" s="43">
        <v>0</v>
      </c>
      <c r="J509" s="43">
        <v>0</v>
      </c>
      <c r="K509" s="42">
        <f t="shared" si="67"/>
        <v>210</v>
      </c>
      <c r="L509" s="43">
        <v>190</v>
      </c>
      <c r="M509" s="42">
        <f t="shared" si="68"/>
        <v>20</v>
      </c>
      <c r="N509" s="52">
        <f t="shared" si="70"/>
        <v>0.90476190476190477</v>
      </c>
      <c r="O509" s="36" t="s">
        <v>495</v>
      </c>
    </row>
    <row r="510" spans="1:15" s="3" customFormat="1" ht="30" customHeight="1" x14ac:dyDescent="0.5">
      <c r="A510" s="3" t="s">
        <v>714</v>
      </c>
      <c r="B510" s="18">
        <v>37</v>
      </c>
      <c r="C510" s="10" t="s">
        <v>715</v>
      </c>
      <c r="D510" s="8" t="s">
        <v>287</v>
      </c>
      <c r="E510" s="42">
        <f>382+40</f>
        <v>422</v>
      </c>
      <c r="F510" s="42">
        <f>0+10+5</f>
        <v>15</v>
      </c>
      <c r="G510" s="42">
        <f>0+20</f>
        <v>20</v>
      </c>
      <c r="H510" s="42">
        <f>0+10+10+10</f>
        <v>30</v>
      </c>
      <c r="I510" s="42">
        <v>0</v>
      </c>
      <c r="J510" s="42">
        <v>0</v>
      </c>
      <c r="K510" s="42">
        <f t="shared" si="67"/>
        <v>357</v>
      </c>
      <c r="L510" s="42">
        <v>328</v>
      </c>
      <c r="M510" s="42">
        <f t="shared" si="68"/>
        <v>29</v>
      </c>
      <c r="N510" s="52">
        <f t="shared" si="70"/>
        <v>0.91876750700280108</v>
      </c>
      <c r="O510" s="36" t="s">
        <v>495</v>
      </c>
    </row>
    <row r="511" spans="1:15" s="3" customFormat="1" ht="30" customHeight="1" x14ac:dyDescent="0.5">
      <c r="A511" s="3" t="s">
        <v>714</v>
      </c>
      <c r="B511" s="18">
        <v>38</v>
      </c>
      <c r="C511" s="10" t="s">
        <v>795</v>
      </c>
      <c r="D511" s="8" t="s">
        <v>796</v>
      </c>
      <c r="E511" s="42">
        <v>60</v>
      </c>
      <c r="F511" s="43">
        <v>0</v>
      </c>
      <c r="G511" s="43">
        <v>0</v>
      </c>
      <c r="H511" s="43">
        <v>0</v>
      </c>
      <c r="I511" s="43">
        <v>0</v>
      </c>
      <c r="J511" s="43">
        <v>0</v>
      </c>
      <c r="K511" s="42">
        <f t="shared" si="67"/>
        <v>60</v>
      </c>
      <c r="L511" s="43">
        <v>56</v>
      </c>
      <c r="M511" s="42">
        <f t="shared" si="68"/>
        <v>4</v>
      </c>
      <c r="N511" s="52">
        <f t="shared" si="70"/>
        <v>0.93333333333333335</v>
      </c>
      <c r="O511" s="36" t="s">
        <v>495</v>
      </c>
    </row>
    <row r="512" spans="1:15" s="3" customFormat="1" ht="30" customHeight="1" x14ac:dyDescent="0.5">
      <c r="A512" s="3" t="s">
        <v>714</v>
      </c>
      <c r="B512" s="18">
        <v>39</v>
      </c>
      <c r="C512" s="10" t="s">
        <v>748</v>
      </c>
      <c r="D512" s="8" t="s">
        <v>749</v>
      </c>
      <c r="E512" s="42">
        <v>150</v>
      </c>
      <c r="F512" s="43">
        <v>0</v>
      </c>
      <c r="G512" s="43">
        <v>0</v>
      </c>
      <c r="H512" s="43">
        <v>0</v>
      </c>
      <c r="I512" s="43">
        <v>1</v>
      </c>
      <c r="J512" s="43">
        <v>0</v>
      </c>
      <c r="K512" s="42">
        <f t="shared" si="67"/>
        <v>149</v>
      </c>
      <c r="L512" s="43">
        <v>143</v>
      </c>
      <c r="M512" s="42">
        <f t="shared" si="68"/>
        <v>6</v>
      </c>
      <c r="N512" s="52">
        <f t="shared" si="70"/>
        <v>0.95973154362416102</v>
      </c>
      <c r="O512" s="36" t="s">
        <v>495</v>
      </c>
    </row>
    <row r="513" spans="1:16" s="3" customFormat="1" ht="30" customHeight="1" x14ac:dyDescent="0.5">
      <c r="A513" s="3" t="s">
        <v>714</v>
      </c>
      <c r="B513" s="18">
        <v>40</v>
      </c>
      <c r="C513" s="10" t="s">
        <v>1091</v>
      </c>
      <c r="D513" s="8" t="s">
        <v>1092</v>
      </c>
      <c r="E513" s="42">
        <f>130+20</f>
        <v>150</v>
      </c>
      <c r="F513" s="43">
        <v>0</v>
      </c>
      <c r="G513" s="43">
        <v>0</v>
      </c>
      <c r="H513" s="43">
        <v>0</v>
      </c>
      <c r="I513" s="43">
        <v>0</v>
      </c>
      <c r="J513" s="43">
        <v>0</v>
      </c>
      <c r="K513" s="42">
        <v>150</v>
      </c>
      <c r="L513" s="43">
        <v>144</v>
      </c>
      <c r="M513" s="42">
        <v>6</v>
      </c>
      <c r="N513" s="52">
        <f t="shared" si="70"/>
        <v>0.96</v>
      </c>
      <c r="O513" s="36" t="s">
        <v>495</v>
      </c>
    </row>
    <row r="514" spans="1:16" s="3" customFormat="1" ht="30" customHeight="1" x14ac:dyDescent="0.5">
      <c r="A514" s="3" t="s">
        <v>714</v>
      </c>
      <c r="B514" s="18">
        <v>41</v>
      </c>
      <c r="C514" s="10" t="s">
        <v>779</v>
      </c>
      <c r="D514" s="8" t="s">
        <v>780</v>
      </c>
      <c r="E514" s="42">
        <f>70+50</f>
        <v>120</v>
      </c>
      <c r="F514" s="43">
        <v>0</v>
      </c>
      <c r="G514" s="43">
        <v>0</v>
      </c>
      <c r="H514" s="43">
        <v>10</v>
      </c>
      <c r="I514" s="43">
        <v>0</v>
      </c>
      <c r="J514" s="43">
        <v>0</v>
      </c>
      <c r="K514" s="42">
        <f t="shared" ref="K514:K526" si="71">E514-F514-G514-H514-I514-J514</f>
        <v>110</v>
      </c>
      <c r="L514" s="43">
        <v>106</v>
      </c>
      <c r="M514" s="42">
        <f t="shared" ref="M514:M526" si="72">K514-L514</f>
        <v>4</v>
      </c>
      <c r="N514" s="52">
        <f t="shared" si="70"/>
        <v>0.96363636363636362</v>
      </c>
      <c r="O514" s="36" t="s">
        <v>495</v>
      </c>
    </row>
    <row r="515" spans="1:16" s="3" customFormat="1" ht="30" customHeight="1" x14ac:dyDescent="0.5">
      <c r="A515" s="3" t="s">
        <v>714</v>
      </c>
      <c r="B515" s="18">
        <v>42</v>
      </c>
      <c r="C515" s="65" t="s">
        <v>745</v>
      </c>
      <c r="D515" s="8" t="s">
        <v>325</v>
      </c>
      <c r="E515" s="42">
        <f>60+20</f>
        <v>80</v>
      </c>
      <c r="F515" s="43">
        <v>0</v>
      </c>
      <c r="G515" s="43">
        <v>0</v>
      </c>
      <c r="H515" s="43">
        <v>0</v>
      </c>
      <c r="I515" s="43">
        <v>0</v>
      </c>
      <c r="J515" s="43">
        <v>0</v>
      </c>
      <c r="K515" s="42">
        <f t="shared" si="71"/>
        <v>80</v>
      </c>
      <c r="L515" s="43">
        <v>78</v>
      </c>
      <c r="M515" s="42">
        <f t="shared" si="72"/>
        <v>2</v>
      </c>
      <c r="N515" s="52">
        <f t="shared" si="70"/>
        <v>0.97499999999999998</v>
      </c>
      <c r="O515" s="36" t="s">
        <v>495</v>
      </c>
    </row>
    <row r="516" spans="1:16" s="3" customFormat="1" ht="30" customHeight="1" x14ac:dyDescent="0.5">
      <c r="A516" s="3" t="s">
        <v>714</v>
      </c>
      <c r="B516" s="18">
        <v>43</v>
      </c>
      <c r="C516" s="10" t="s">
        <v>752</v>
      </c>
      <c r="D516" s="8" t="s">
        <v>333</v>
      </c>
      <c r="E516" s="42">
        <v>140</v>
      </c>
      <c r="F516" s="43">
        <v>0</v>
      </c>
      <c r="G516" s="43">
        <v>0</v>
      </c>
      <c r="H516" s="43">
        <v>0</v>
      </c>
      <c r="I516" s="43">
        <v>0</v>
      </c>
      <c r="J516" s="43">
        <v>0</v>
      </c>
      <c r="K516" s="42">
        <f t="shared" si="71"/>
        <v>140</v>
      </c>
      <c r="L516" s="43">
        <v>138</v>
      </c>
      <c r="M516" s="42">
        <f t="shared" si="72"/>
        <v>2</v>
      </c>
      <c r="N516" s="52">
        <f t="shared" si="70"/>
        <v>0.98571428571428577</v>
      </c>
      <c r="O516" s="36" t="s">
        <v>495</v>
      </c>
    </row>
    <row r="517" spans="1:16" s="3" customFormat="1" ht="30" customHeight="1" x14ac:dyDescent="0.5">
      <c r="A517" s="3" t="s">
        <v>714</v>
      </c>
      <c r="B517" s="18">
        <v>44</v>
      </c>
      <c r="C517" s="10" t="s">
        <v>717</v>
      </c>
      <c r="D517" s="8" t="s">
        <v>719</v>
      </c>
      <c r="E517" s="42">
        <v>292</v>
      </c>
      <c r="F517" s="42">
        <f>0+10+10</f>
        <v>20</v>
      </c>
      <c r="G517" s="42">
        <f>0+20</f>
        <v>20</v>
      </c>
      <c r="H517" s="42">
        <f>0+10+10</f>
        <v>20</v>
      </c>
      <c r="I517" s="42">
        <v>0</v>
      </c>
      <c r="J517" s="42">
        <v>0</v>
      </c>
      <c r="K517" s="42">
        <f t="shared" si="71"/>
        <v>232</v>
      </c>
      <c r="L517" s="42">
        <v>229</v>
      </c>
      <c r="M517" s="42">
        <f t="shared" si="72"/>
        <v>3</v>
      </c>
      <c r="N517" s="52">
        <f t="shared" si="70"/>
        <v>0.98706896551724133</v>
      </c>
      <c r="O517" s="36" t="s">
        <v>495</v>
      </c>
    </row>
    <row r="518" spans="1:16" s="3" customFormat="1" ht="30" customHeight="1" x14ac:dyDescent="0.5">
      <c r="A518" s="3" t="s">
        <v>714</v>
      </c>
      <c r="B518" s="18">
        <v>45</v>
      </c>
      <c r="C518" s="10" t="s">
        <v>754</v>
      </c>
      <c r="D518" s="8" t="s">
        <v>755</v>
      </c>
      <c r="E518" s="42">
        <f>10+10+10+40+10</f>
        <v>80</v>
      </c>
      <c r="F518" s="43">
        <v>0</v>
      </c>
      <c r="G518" s="43">
        <v>0</v>
      </c>
      <c r="H518" s="43">
        <v>0</v>
      </c>
      <c r="I518" s="43">
        <v>0</v>
      </c>
      <c r="J518" s="43">
        <v>0</v>
      </c>
      <c r="K518" s="42">
        <f t="shared" si="71"/>
        <v>80</v>
      </c>
      <c r="L518" s="43">
        <v>79</v>
      </c>
      <c r="M518" s="42">
        <f t="shared" si="72"/>
        <v>1</v>
      </c>
      <c r="N518" s="52">
        <f t="shared" si="70"/>
        <v>0.98750000000000004</v>
      </c>
      <c r="O518" s="36" t="s">
        <v>495</v>
      </c>
    </row>
    <row r="519" spans="1:16" s="3" customFormat="1" ht="30" customHeight="1" x14ac:dyDescent="0.5">
      <c r="A519" s="3" t="s">
        <v>714</v>
      </c>
      <c r="B519" s="18">
        <v>46</v>
      </c>
      <c r="C519" s="10" t="s">
        <v>775</v>
      </c>
      <c r="D519" s="8" t="s">
        <v>776</v>
      </c>
      <c r="E519" s="42">
        <f>80+10</f>
        <v>90</v>
      </c>
      <c r="F519" s="43">
        <v>0</v>
      </c>
      <c r="G519" s="43">
        <v>0</v>
      </c>
      <c r="H519" s="43">
        <v>0</v>
      </c>
      <c r="I519" s="43">
        <v>0</v>
      </c>
      <c r="J519" s="43">
        <v>0</v>
      </c>
      <c r="K519" s="42">
        <f t="shared" si="71"/>
        <v>90</v>
      </c>
      <c r="L519" s="43">
        <v>90</v>
      </c>
      <c r="M519" s="42">
        <f t="shared" si="72"/>
        <v>0</v>
      </c>
      <c r="N519" s="64">
        <f t="shared" si="70"/>
        <v>1</v>
      </c>
      <c r="O519" s="57" t="s">
        <v>499</v>
      </c>
    </row>
    <row r="520" spans="1:16" s="3" customFormat="1" ht="30" customHeight="1" x14ac:dyDescent="0.5">
      <c r="A520" s="3" t="s">
        <v>714</v>
      </c>
      <c r="B520" s="18">
        <v>47</v>
      </c>
      <c r="C520" s="10" t="s">
        <v>750</v>
      </c>
      <c r="D520" s="8" t="s">
        <v>751</v>
      </c>
      <c r="E520" s="42">
        <f>90+50+20</f>
        <v>160</v>
      </c>
      <c r="F520" s="43">
        <v>0</v>
      </c>
      <c r="G520" s="43">
        <v>0</v>
      </c>
      <c r="H520" s="43">
        <v>0</v>
      </c>
      <c r="I520" s="43">
        <v>0</v>
      </c>
      <c r="J520" s="43">
        <v>0</v>
      </c>
      <c r="K520" s="42">
        <f t="shared" si="71"/>
        <v>160</v>
      </c>
      <c r="L520" s="43">
        <v>160</v>
      </c>
      <c r="M520" s="42">
        <f t="shared" si="72"/>
        <v>0</v>
      </c>
      <c r="N520" s="64">
        <f t="shared" si="70"/>
        <v>1</v>
      </c>
      <c r="O520" s="57" t="s">
        <v>499</v>
      </c>
    </row>
    <row r="521" spans="1:16" s="3" customFormat="1" ht="30" customHeight="1" x14ac:dyDescent="0.5">
      <c r="A521" s="3" t="s">
        <v>714</v>
      </c>
      <c r="B521" s="18">
        <v>48</v>
      </c>
      <c r="C521" s="10" t="s">
        <v>732</v>
      </c>
      <c r="D521" s="8" t="s">
        <v>289</v>
      </c>
      <c r="E521" s="42">
        <f>60+20</f>
        <v>80</v>
      </c>
      <c r="F521" s="43">
        <v>0</v>
      </c>
      <c r="G521" s="43">
        <v>0</v>
      </c>
      <c r="H521" s="43">
        <v>0</v>
      </c>
      <c r="I521" s="43">
        <v>0</v>
      </c>
      <c r="J521" s="43">
        <v>0</v>
      </c>
      <c r="K521" s="42">
        <f t="shared" si="71"/>
        <v>80</v>
      </c>
      <c r="L521" s="43">
        <v>80</v>
      </c>
      <c r="M521" s="42">
        <f t="shared" si="72"/>
        <v>0</v>
      </c>
      <c r="N521" s="64">
        <f t="shared" si="70"/>
        <v>1</v>
      </c>
      <c r="O521" s="57" t="s">
        <v>499</v>
      </c>
    </row>
    <row r="522" spans="1:16" s="3" customFormat="1" ht="30" customHeight="1" x14ac:dyDescent="0.5">
      <c r="A522" s="3" t="s">
        <v>714</v>
      </c>
      <c r="B522" s="18">
        <v>49</v>
      </c>
      <c r="C522" s="10" t="s">
        <v>753</v>
      </c>
      <c r="D522" s="8" t="s">
        <v>335</v>
      </c>
      <c r="E522" s="42">
        <v>100</v>
      </c>
      <c r="F522" s="43">
        <v>0</v>
      </c>
      <c r="G522" s="43">
        <v>0</v>
      </c>
      <c r="H522" s="43">
        <v>0</v>
      </c>
      <c r="I522" s="43">
        <v>0</v>
      </c>
      <c r="J522" s="43">
        <v>0</v>
      </c>
      <c r="K522" s="42">
        <f t="shared" si="71"/>
        <v>100</v>
      </c>
      <c r="L522" s="43">
        <v>100</v>
      </c>
      <c r="M522" s="42">
        <f t="shared" si="72"/>
        <v>0</v>
      </c>
      <c r="N522" s="64">
        <f t="shared" si="70"/>
        <v>1</v>
      </c>
      <c r="O522" s="57" t="s">
        <v>499</v>
      </c>
    </row>
    <row r="523" spans="1:16" s="3" customFormat="1" ht="30" customHeight="1" x14ac:dyDescent="0.5">
      <c r="A523" s="3" t="s">
        <v>714</v>
      </c>
      <c r="B523" s="18">
        <v>50</v>
      </c>
      <c r="C523" s="10" t="s">
        <v>742</v>
      </c>
      <c r="D523" s="8" t="s">
        <v>311</v>
      </c>
      <c r="E523" s="42">
        <v>80</v>
      </c>
      <c r="F523" s="43">
        <v>0</v>
      </c>
      <c r="G523" s="43">
        <v>0</v>
      </c>
      <c r="H523" s="43">
        <v>0</v>
      </c>
      <c r="I523" s="43">
        <v>0</v>
      </c>
      <c r="J523" s="43">
        <v>0</v>
      </c>
      <c r="K523" s="42">
        <f t="shared" si="71"/>
        <v>80</v>
      </c>
      <c r="L523" s="43">
        <v>80</v>
      </c>
      <c r="M523" s="42">
        <f t="shared" si="72"/>
        <v>0</v>
      </c>
      <c r="N523" s="64">
        <f t="shared" si="70"/>
        <v>1</v>
      </c>
      <c r="O523" s="57" t="s">
        <v>499</v>
      </c>
    </row>
    <row r="524" spans="1:16" s="3" customFormat="1" ht="30" customHeight="1" x14ac:dyDescent="0.5">
      <c r="A524" s="3" t="s">
        <v>714</v>
      </c>
      <c r="B524" s="18">
        <v>51</v>
      </c>
      <c r="C524" s="10" t="s">
        <v>805</v>
      </c>
      <c r="D524" s="8" t="s">
        <v>806</v>
      </c>
      <c r="E524" s="42">
        <v>16</v>
      </c>
      <c r="F524" s="43">
        <v>0</v>
      </c>
      <c r="G524" s="43">
        <v>0</v>
      </c>
      <c r="H524" s="43">
        <v>0</v>
      </c>
      <c r="I524" s="43">
        <v>0</v>
      </c>
      <c r="J524" s="43">
        <v>0</v>
      </c>
      <c r="K524" s="42">
        <f t="shared" si="71"/>
        <v>16</v>
      </c>
      <c r="L524" s="43">
        <v>16</v>
      </c>
      <c r="M524" s="42">
        <f t="shared" si="72"/>
        <v>0</v>
      </c>
      <c r="N524" s="64">
        <f t="shared" si="70"/>
        <v>1</v>
      </c>
      <c r="O524" s="57" t="s">
        <v>499</v>
      </c>
    </row>
    <row r="525" spans="1:16" s="3" customFormat="1" ht="30" customHeight="1" x14ac:dyDescent="0.5">
      <c r="A525" s="3" t="s">
        <v>714</v>
      </c>
      <c r="B525" s="18">
        <v>52</v>
      </c>
      <c r="C525" s="10" t="s">
        <v>764</v>
      </c>
      <c r="D525" s="8" t="s">
        <v>765</v>
      </c>
      <c r="E525" s="42">
        <f>10+20</f>
        <v>30</v>
      </c>
      <c r="F525" s="43">
        <v>0</v>
      </c>
      <c r="G525" s="43">
        <v>0</v>
      </c>
      <c r="H525" s="43">
        <v>0</v>
      </c>
      <c r="I525" s="43">
        <v>0</v>
      </c>
      <c r="J525" s="43">
        <v>0</v>
      </c>
      <c r="K525" s="42">
        <f t="shared" si="71"/>
        <v>30</v>
      </c>
      <c r="L525" s="43">
        <v>30</v>
      </c>
      <c r="M525" s="42">
        <f t="shared" si="72"/>
        <v>0</v>
      </c>
      <c r="N525" s="64">
        <f t="shared" si="70"/>
        <v>1</v>
      </c>
      <c r="O525" s="57" t="s">
        <v>499</v>
      </c>
    </row>
    <row r="526" spans="1:16" s="3" customFormat="1" ht="30" customHeight="1" x14ac:dyDescent="0.5">
      <c r="A526" s="3" t="s">
        <v>714</v>
      </c>
      <c r="B526" s="18">
        <v>53</v>
      </c>
      <c r="C526" s="10" t="s">
        <v>781</v>
      </c>
      <c r="D526" s="8" t="s">
        <v>782</v>
      </c>
      <c r="E526" s="42">
        <f>10+10+10</f>
        <v>30</v>
      </c>
      <c r="F526" s="43">
        <v>0</v>
      </c>
      <c r="G526" s="43">
        <v>0</v>
      </c>
      <c r="H526" s="43">
        <v>0</v>
      </c>
      <c r="I526" s="43">
        <v>0</v>
      </c>
      <c r="J526" s="43">
        <v>0</v>
      </c>
      <c r="K526" s="42">
        <f t="shared" si="71"/>
        <v>30</v>
      </c>
      <c r="L526" s="43">
        <v>30</v>
      </c>
      <c r="M526" s="42">
        <f t="shared" si="72"/>
        <v>0</v>
      </c>
      <c r="N526" s="64">
        <f t="shared" si="70"/>
        <v>1</v>
      </c>
      <c r="O526" s="57" t="s">
        <v>499</v>
      </c>
    </row>
    <row r="527" spans="1:16" ht="32.4" customHeight="1" x14ac:dyDescent="0.3">
      <c r="A527" t="s">
        <v>643</v>
      </c>
      <c r="B527" s="30">
        <v>1</v>
      </c>
      <c r="C527" s="16" t="s">
        <v>637</v>
      </c>
      <c r="D527" s="16" t="s">
        <v>638</v>
      </c>
      <c r="E527" s="43">
        <f>50+250</f>
        <v>300</v>
      </c>
      <c r="F527" s="43">
        <f>0+20+50+50</f>
        <v>120</v>
      </c>
      <c r="G527" s="43">
        <v>0</v>
      </c>
      <c r="H527" s="43">
        <v>20</v>
      </c>
      <c r="I527" s="43">
        <v>3</v>
      </c>
      <c r="J527" s="43">
        <v>0</v>
      </c>
      <c r="K527" s="43">
        <f>E527-F527-G527-H527-I527-J527</f>
        <v>157</v>
      </c>
      <c r="L527" s="43">
        <v>143</v>
      </c>
      <c r="M527" s="43">
        <f>K527-L527</f>
        <v>14</v>
      </c>
      <c r="N527" s="52">
        <f>L527/K527</f>
        <v>0.91082802547770703</v>
      </c>
      <c r="O527" s="74" t="s">
        <v>495</v>
      </c>
      <c r="P527" s="5"/>
    </row>
    <row r="528" spans="1:16" ht="32.4" customHeight="1" x14ac:dyDescent="0.3">
      <c r="A528" t="s">
        <v>643</v>
      </c>
      <c r="B528" s="30">
        <v>2</v>
      </c>
      <c r="C528" s="16" t="s">
        <v>641</v>
      </c>
      <c r="D528" s="16" t="s">
        <v>642</v>
      </c>
      <c r="E528" s="43">
        <f>50+249</f>
        <v>299</v>
      </c>
      <c r="F528" s="43">
        <f>0+20+50+50</f>
        <v>120</v>
      </c>
      <c r="G528" s="43">
        <v>0</v>
      </c>
      <c r="H528" s="43">
        <v>0</v>
      </c>
      <c r="I528" s="43">
        <v>3</v>
      </c>
      <c r="J528" s="43">
        <v>0</v>
      </c>
      <c r="K528" s="43">
        <f>E528-F528-G528-H528-I528-J528</f>
        <v>176</v>
      </c>
      <c r="L528" s="43">
        <v>172</v>
      </c>
      <c r="M528" s="43">
        <f>K528-L528</f>
        <v>4</v>
      </c>
      <c r="N528" s="52">
        <f>L528/K528</f>
        <v>0.97727272727272729</v>
      </c>
      <c r="O528" s="74" t="s">
        <v>495</v>
      </c>
      <c r="P528" s="5"/>
    </row>
    <row r="529" spans="1:16" ht="32.4" customHeight="1" x14ac:dyDescent="0.3">
      <c r="A529" t="s">
        <v>643</v>
      </c>
      <c r="B529" s="30">
        <v>3</v>
      </c>
      <c r="C529" s="16" t="s">
        <v>639</v>
      </c>
      <c r="D529" s="16" t="s">
        <v>640</v>
      </c>
      <c r="E529" s="43">
        <f>50+250</f>
        <v>300</v>
      </c>
      <c r="F529" s="43">
        <f>0+10+50</f>
        <v>60</v>
      </c>
      <c r="G529" s="43">
        <v>0</v>
      </c>
      <c r="H529" s="43">
        <v>25</v>
      </c>
      <c r="I529" s="43">
        <v>3</v>
      </c>
      <c r="J529" s="43">
        <v>0</v>
      </c>
      <c r="K529" s="43">
        <f>E529-F529-G529-H529-I529-J529</f>
        <v>212</v>
      </c>
      <c r="L529" s="43">
        <v>210</v>
      </c>
      <c r="M529" s="43">
        <f>K529-L529</f>
        <v>2</v>
      </c>
      <c r="N529" s="52">
        <f>L529/K529</f>
        <v>0.99056603773584906</v>
      </c>
      <c r="O529" s="74" t="s">
        <v>495</v>
      </c>
      <c r="P529" s="5"/>
    </row>
    <row r="530" spans="1:16" ht="32.4" customHeight="1" x14ac:dyDescent="0.3">
      <c r="A530" t="s">
        <v>925</v>
      </c>
      <c r="B530" s="30">
        <v>7</v>
      </c>
      <c r="C530" s="16" t="s">
        <v>969</v>
      </c>
      <c r="D530" s="16" t="s">
        <v>1016</v>
      </c>
      <c r="E530" s="43">
        <v>20</v>
      </c>
      <c r="F530" s="43">
        <v>0</v>
      </c>
      <c r="G530" s="43">
        <v>0</v>
      </c>
      <c r="H530" s="43">
        <v>0</v>
      </c>
      <c r="I530" s="43">
        <v>0</v>
      </c>
      <c r="J530" s="43">
        <v>0</v>
      </c>
      <c r="K530" s="43">
        <f t="shared" ref="K530:K555" si="73">E530-F530-G530-H530-I530-J530</f>
        <v>20</v>
      </c>
      <c r="L530" s="43">
        <v>4</v>
      </c>
      <c r="M530" s="43">
        <f t="shared" ref="M530:M555" si="74">K530-L530</f>
        <v>16</v>
      </c>
      <c r="N530" s="44">
        <f t="shared" ref="N530:N555" si="75">L530/K530</f>
        <v>0.2</v>
      </c>
      <c r="O530" s="45" t="s">
        <v>496</v>
      </c>
      <c r="P530" s="5"/>
    </row>
    <row r="531" spans="1:16" ht="32.4" customHeight="1" x14ac:dyDescent="0.3">
      <c r="A531" t="s">
        <v>925</v>
      </c>
      <c r="B531" s="30">
        <v>8</v>
      </c>
      <c r="C531" s="16" t="s">
        <v>958</v>
      </c>
      <c r="D531" s="16" t="s">
        <v>1005</v>
      </c>
      <c r="E531" s="43">
        <v>40</v>
      </c>
      <c r="F531" s="43">
        <v>0</v>
      </c>
      <c r="G531" s="43">
        <v>0</v>
      </c>
      <c r="H531" s="43">
        <v>0</v>
      </c>
      <c r="I531" s="43">
        <v>0</v>
      </c>
      <c r="J531" s="43">
        <v>0</v>
      </c>
      <c r="K531" s="43">
        <f t="shared" si="73"/>
        <v>40</v>
      </c>
      <c r="L531" s="43">
        <v>9</v>
      </c>
      <c r="M531" s="43">
        <f t="shared" si="74"/>
        <v>31</v>
      </c>
      <c r="N531" s="44">
        <f t="shared" si="75"/>
        <v>0.22500000000000001</v>
      </c>
      <c r="O531" s="45" t="s">
        <v>496</v>
      </c>
      <c r="P531" s="5"/>
    </row>
    <row r="532" spans="1:16" ht="32.4" customHeight="1" x14ac:dyDescent="0.3">
      <c r="A532" t="s">
        <v>925</v>
      </c>
      <c r="B532" s="30">
        <v>9</v>
      </c>
      <c r="C532" s="16" t="s">
        <v>964</v>
      </c>
      <c r="D532" s="16" t="s">
        <v>1011</v>
      </c>
      <c r="E532" s="43">
        <v>40</v>
      </c>
      <c r="F532" s="43">
        <v>0</v>
      </c>
      <c r="G532" s="43">
        <v>0</v>
      </c>
      <c r="H532" s="43">
        <v>0</v>
      </c>
      <c r="I532" s="43">
        <v>0</v>
      </c>
      <c r="J532" s="43">
        <v>0</v>
      </c>
      <c r="K532" s="43">
        <f t="shared" si="73"/>
        <v>40</v>
      </c>
      <c r="L532" s="43">
        <v>9</v>
      </c>
      <c r="M532" s="43">
        <f t="shared" si="74"/>
        <v>31</v>
      </c>
      <c r="N532" s="44">
        <f t="shared" si="75"/>
        <v>0.22500000000000001</v>
      </c>
      <c r="O532" s="45" t="s">
        <v>496</v>
      </c>
      <c r="P532" s="5"/>
    </row>
    <row r="533" spans="1:16" ht="32.4" customHeight="1" x14ac:dyDescent="0.3">
      <c r="A533" t="s">
        <v>925</v>
      </c>
      <c r="B533" s="30">
        <v>10</v>
      </c>
      <c r="C533" s="16" t="s">
        <v>943</v>
      </c>
      <c r="D533" s="16" t="s">
        <v>990</v>
      </c>
      <c r="E533" s="43">
        <v>40</v>
      </c>
      <c r="F533" s="43">
        <v>0</v>
      </c>
      <c r="G533" s="43">
        <v>0</v>
      </c>
      <c r="H533" s="43">
        <v>0</v>
      </c>
      <c r="I533" s="43">
        <v>0</v>
      </c>
      <c r="J533" s="43">
        <v>0</v>
      </c>
      <c r="K533" s="43">
        <f t="shared" si="73"/>
        <v>40</v>
      </c>
      <c r="L533" s="43">
        <v>9</v>
      </c>
      <c r="M533" s="43">
        <f t="shared" si="74"/>
        <v>31</v>
      </c>
      <c r="N533" s="44">
        <f t="shared" si="75"/>
        <v>0.22500000000000001</v>
      </c>
      <c r="O533" s="45" t="s">
        <v>496</v>
      </c>
      <c r="P533" s="5"/>
    </row>
    <row r="534" spans="1:16" ht="32.4" customHeight="1" x14ac:dyDescent="0.3">
      <c r="A534" t="s">
        <v>925</v>
      </c>
      <c r="B534" s="30">
        <v>11</v>
      </c>
      <c r="C534" s="16" t="s">
        <v>942</v>
      </c>
      <c r="D534" s="16" t="s">
        <v>989</v>
      </c>
      <c r="E534" s="43">
        <v>48</v>
      </c>
      <c r="F534" s="43">
        <v>0</v>
      </c>
      <c r="G534" s="43">
        <v>0</v>
      </c>
      <c r="H534" s="43">
        <v>0</v>
      </c>
      <c r="I534" s="43">
        <v>0</v>
      </c>
      <c r="J534" s="43">
        <v>0</v>
      </c>
      <c r="K534" s="43">
        <f t="shared" si="73"/>
        <v>48</v>
      </c>
      <c r="L534" s="43">
        <v>11</v>
      </c>
      <c r="M534" s="43">
        <f t="shared" si="74"/>
        <v>37</v>
      </c>
      <c r="N534" s="44">
        <f t="shared" si="75"/>
        <v>0.22916666666666666</v>
      </c>
      <c r="O534" s="45" t="s">
        <v>496</v>
      </c>
      <c r="P534" s="5"/>
    </row>
    <row r="535" spans="1:16" ht="32.4" customHeight="1" x14ac:dyDescent="0.3">
      <c r="A535" t="s">
        <v>925</v>
      </c>
      <c r="B535" s="30">
        <v>12</v>
      </c>
      <c r="C535" s="16" t="s">
        <v>966</v>
      </c>
      <c r="D535" s="16" t="s">
        <v>1013</v>
      </c>
      <c r="E535" s="43">
        <v>40</v>
      </c>
      <c r="F535" s="43">
        <v>0</v>
      </c>
      <c r="G535" s="43">
        <v>0</v>
      </c>
      <c r="H535" s="43">
        <v>0</v>
      </c>
      <c r="I535" s="43">
        <v>0</v>
      </c>
      <c r="J535" s="43">
        <v>0</v>
      </c>
      <c r="K535" s="43">
        <f t="shared" si="73"/>
        <v>40</v>
      </c>
      <c r="L535" s="43">
        <v>10</v>
      </c>
      <c r="M535" s="43">
        <f t="shared" si="74"/>
        <v>30</v>
      </c>
      <c r="N535" s="44">
        <f t="shared" si="75"/>
        <v>0.25</v>
      </c>
      <c r="O535" s="45" t="s">
        <v>496</v>
      </c>
      <c r="P535" s="5"/>
    </row>
    <row r="536" spans="1:16" ht="32.4" customHeight="1" x14ac:dyDescent="0.3">
      <c r="A536" t="s">
        <v>925</v>
      </c>
      <c r="B536" s="30">
        <v>13</v>
      </c>
      <c r="C536" s="16" t="s">
        <v>938</v>
      </c>
      <c r="D536" s="16" t="s">
        <v>985</v>
      </c>
      <c r="E536" s="43">
        <v>40</v>
      </c>
      <c r="F536" s="43">
        <v>0</v>
      </c>
      <c r="G536" s="43">
        <v>0</v>
      </c>
      <c r="H536" s="43">
        <v>0</v>
      </c>
      <c r="I536" s="43">
        <v>0</v>
      </c>
      <c r="J536" s="43">
        <v>0</v>
      </c>
      <c r="K536" s="43">
        <f t="shared" si="73"/>
        <v>40</v>
      </c>
      <c r="L536" s="43">
        <v>10</v>
      </c>
      <c r="M536" s="43">
        <f t="shared" si="74"/>
        <v>30</v>
      </c>
      <c r="N536" s="44">
        <f t="shared" si="75"/>
        <v>0.25</v>
      </c>
      <c r="O536" s="45" t="s">
        <v>496</v>
      </c>
      <c r="P536" s="5"/>
    </row>
    <row r="537" spans="1:16" ht="32.4" customHeight="1" x14ac:dyDescent="0.3">
      <c r="A537" t="s">
        <v>925</v>
      </c>
      <c r="B537" s="30">
        <v>14</v>
      </c>
      <c r="C537" s="16" t="s">
        <v>939</v>
      </c>
      <c r="D537" s="16" t="s">
        <v>986</v>
      </c>
      <c r="E537" s="43">
        <v>16</v>
      </c>
      <c r="F537" s="43">
        <v>0</v>
      </c>
      <c r="G537" s="43">
        <v>0</v>
      </c>
      <c r="H537" s="43">
        <v>0</v>
      </c>
      <c r="I537" s="43">
        <v>0</v>
      </c>
      <c r="J537" s="43">
        <v>0</v>
      </c>
      <c r="K537" s="43">
        <f t="shared" si="73"/>
        <v>16</v>
      </c>
      <c r="L537" s="43">
        <v>4</v>
      </c>
      <c r="M537" s="43">
        <f t="shared" si="74"/>
        <v>12</v>
      </c>
      <c r="N537" s="44">
        <f t="shared" si="75"/>
        <v>0.25</v>
      </c>
      <c r="O537" s="45" t="s">
        <v>496</v>
      </c>
      <c r="P537" s="5"/>
    </row>
    <row r="538" spans="1:16" ht="32.4" customHeight="1" x14ac:dyDescent="0.3">
      <c r="A538" t="s">
        <v>925</v>
      </c>
      <c r="B538" s="30">
        <v>15</v>
      </c>
      <c r="C538" s="16" t="s">
        <v>953</v>
      </c>
      <c r="D538" s="16" t="s">
        <v>1000</v>
      </c>
      <c r="E538" s="43">
        <v>16</v>
      </c>
      <c r="F538" s="43">
        <v>0</v>
      </c>
      <c r="G538" s="43">
        <v>0</v>
      </c>
      <c r="H538" s="43">
        <v>0</v>
      </c>
      <c r="I538" s="43">
        <v>0</v>
      </c>
      <c r="J538" s="43">
        <v>0</v>
      </c>
      <c r="K538" s="43">
        <f t="shared" si="73"/>
        <v>16</v>
      </c>
      <c r="L538" s="43">
        <v>4</v>
      </c>
      <c r="M538" s="43">
        <f t="shared" si="74"/>
        <v>12</v>
      </c>
      <c r="N538" s="44">
        <f t="shared" si="75"/>
        <v>0.25</v>
      </c>
      <c r="O538" s="45" t="s">
        <v>496</v>
      </c>
      <c r="P538" s="5"/>
    </row>
    <row r="539" spans="1:16" ht="32.4" customHeight="1" x14ac:dyDescent="0.3">
      <c r="A539" t="s">
        <v>925</v>
      </c>
      <c r="B539" s="30">
        <v>16</v>
      </c>
      <c r="C539" s="16" t="s">
        <v>963</v>
      </c>
      <c r="D539" s="16" t="s">
        <v>1010</v>
      </c>
      <c r="E539" s="43">
        <v>50</v>
      </c>
      <c r="F539" s="43">
        <v>0</v>
      </c>
      <c r="G539" s="43">
        <v>0</v>
      </c>
      <c r="H539" s="43">
        <v>0</v>
      </c>
      <c r="I539" s="43">
        <v>0</v>
      </c>
      <c r="J539" s="43">
        <v>0</v>
      </c>
      <c r="K539" s="43">
        <f t="shared" si="73"/>
        <v>50</v>
      </c>
      <c r="L539" s="43">
        <v>13</v>
      </c>
      <c r="M539" s="43">
        <f t="shared" si="74"/>
        <v>37</v>
      </c>
      <c r="N539" s="55">
        <f t="shared" si="75"/>
        <v>0.26</v>
      </c>
      <c r="O539" s="67" t="s">
        <v>497</v>
      </c>
      <c r="P539" s="5"/>
    </row>
    <row r="540" spans="1:16" ht="32.4" customHeight="1" x14ac:dyDescent="0.3">
      <c r="A540" t="s">
        <v>925</v>
      </c>
      <c r="B540" s="30">
        <v>17</v>
      </c>
      <c r="C540" s="16" t="s">
        <v>967</v>
      </c>
      <c r="D540" s="16" t="s">
        <v>1014</v>
      </c>
      <c r="E540" s="43">
        <v>30</v>
      </c>
      <c r="F540" s="43">
        <v>0</v>
      </c>
      <c r="G540" s="43">
        <v>0</v>
      </c>
      <c r="H540" s="43">
        <v>0</v>
      </c>
      <c r="I540" s="43">
        <v>0</v>
      </c>
      <c r="J540" s="43">
        <v>0</v>
      </c>
      <c r="K540" s="43">
        <f t="shared" si="73"/>
        <v>30</v>
      </c>
      <c r="L540" s="43">
        <v>8</v>
      </c>
      <c r="M540" s="43">
        <f t="shared" si="74"/>
        <v>22</v>
      </c>
      <c r="N540" s="55">
        <f t="shared" si="75"/>
        <v>0.26666666666666666</v>
      </c>
      <c r="O540" s="67" t="s">
        <v>497</v>
      </c>
      <c r="P540" s="5"/>
    </row>
    <row r="541" spans="1:16" ht="32.4" customHeight="1" x14ac:dyDescent="0.3">
      <c r="A541" t="s">
        <v>925</v>
      </c>
      <c r="B541" s="30">
        <v>18</v>
      </c>
      <c r="C541" s="16" t="s">
        <v>940</v>
      </c>
      <c r="D541" s="16" t="s">
        <v>987</v>
      </c>
      <c r="E541" s="43">
        <f>16+8</f>
        <v>24</v>
      </c>
      <c r="F541" s="43">
        <v>0</v>
      </c>
      <c r="G541" s="43">
        <v>0</v>
      </c>
      <c r="H541" s="43">
        <v>0</v>
      </c>
      <c r="I541" s="43">
        <v>0</v>
      </c>
      <c r="J541" s="43">
        <v>0</v>
      </c>
      <c r="K541" s="43">
        <f t="shared" si="73"/>
        <v>24</v>
      </c>
      <c r="L541" s="43">
        <v>7</v>
      </c>
      <c r="M541" s="43">
        <f t="shared" si="74"/>
        <v>17</v>
      </c>
      <c r="N541" s="55">
        <f t="shared" si="75"/>
        <v>0.29166666666666669</v>
      </c>
      <c r="O541" s="67" t="s">
        <v>497</v>
      </c>
      <c r="P541" s="5"/>
    </row>
    <row r="542" spans="1:16" ht="32.4" customHeight="1" x14ac:dyDescent="0.3">
      <c r="A542" t="s">
        <v>925</v>
      </c>
      <c r="B542" s="30">
        <v>19</v>
      </c>
      <c r="C542" s="16" t="s">
        <v>954</v>
      </c>
      <c r="D542" s="16" t="s">
        <v>1001</v>
      </c>
      <c r="E542" s="43">
        <f>16+8</f>
        <v>24</v>
      </c>
      <c r="F542" s="43">
        <v>0</v>
      </c>
      <c r="G542" s="43">
        <v>0</v>
      </c>
      <c r="H542" s="43">
        <v>0</v>
      </c>
      <c r="I542" s="43">
        <v>0</v>
      </c>
      <c r="J542" s="43">
        <v>0</v>
      </c>
      <c r="K542" s="43">
        <f t="shared" si="73"/>
        <v>24</v>
      </c>
      <c r="L542" s="43">
        <v>7</v>
      </c>
      <c r="M542" s="43">
        <f t="shared" si="74"/>
        <v>17</v>
      </c>
      <c r="N542" s="55">
        <f t="shared" si="75"/>
        <v>0.29166666666666669</v>
      </c>
      <c r="O542" s="67" t="s">
        <v>497</v>
      </c>
      <c r="P542" s="5"/>
    </row>
    <row r="543" spans="1:16" ht="32.4" customHeight="1" x14ac:dyDescent="0.3">
      <c r="A543" t="s">
        <v>925</v>
      </c>
      <c r="B543" s="30">
        <v>20</v>
      </c>
      <c r="C543" s="16" t="s">
        <v>941</v>
      </c>
      <c r="D543" s="16" t="s">
        <v>988</v>
      </c>
      <c r="E543" s="43">
        <v>40</v>
      </c>
      <c r="F543" s="43">
        <v>0</v>
      </c>
      <c r="G543" s="43">
        <v>0</v>
      </c>
      <c r="H543" s="43">
        <v>0</v>
      </c>
      <c r="I543" s="43">
        <v>0</v>
      </c>
      <c r="J543" s="43">
        <v>0</v>
      </c>
      <c r="K543" s="43">
        <f t="shared" si="73"/>
        <v>40</v>
      </c>
      <c r="L543" s="43">
        <v>12</v>
      </c>
      <c r="M543" s="43">
        <f t="shared" si="74"/>
        <v>28</v>
      </c>
      <c r="N543" s="55">
        <f t="shared" si="75"/>
        <v>0.3</v>
      </c>
      <c r="O543" s="67" t="s">
        <v>497</v>
      </c>
      <c r="P543" s="5"/>
    </row>
    <row r="544" spans="1:16" ht="32.4" customHeight="1" x14ac:dyDescent="0.3">
      <c r="A544" t="s">
        <v>925</v>
      </c>
      <c r="B544" s="30">
        <v>21</v>
      </c>
      <c r="C544" s="16" t="s">
        <v>950</v>
      </c>
      <c r="D544" s="16" t="s">
        <v>997</v>
      </c>
      <c r="E544" s="43">
        <f>16+4</f>
        <v>20</v>
      </c>
      <c r="F544" s="43">
        <v>0</v>
      </c>
      <c r="G544" s="43">
        <v>0</v>
      </c>
      <c r="H544" s="43">
        <v>0</v>
      </c>
      <c r="I544" s="43">
        <v>0</v>
      </c>
      <c r="J544" s="43">
        <v>0</v>
      </c>
      <c r="K544" s="43">
        <f t="shared" si="73"/>
        <v>20</v>
      </c>
      <c r="L544" s="43">
        <v>6</v>
      </c>
      <c r="M544" s="43">
        <f t="shared" si="74"/>
        <v>14</v>
      </c>
      <c r="N544" s="55">
        <f t="shared" si="75"/>
        <v>0.3</v>
      </c>
      <c r="O544" s="67" t="s">
        <v>497</v>
      </c>
      <c r="P544" s="5"/>
    </row>
    <row r="545" spans="1:16" ht="32.4" customHeight="1" x14ac:dyDescent="0.3">
      <c r="A545" t="s">
        <v>925</v>
      </c>
      <c r="B545" s="30">
        <v>22</v>
      </c>
      <c r="C545" s="16" t="s">
        <v>972</v>
      </c>
      <c r="D545" s="16" t="s">
        <v>1019</v>
      </c>
      <c r="E545" s="43">
        <v>16</v>
      </c>
      <c r="F545" s="43">
        <v>0</v>
      </c>
      <c r="G545" s="43">
        <v>0</v>
      </c>
      <c r="H545" s="43">
        <v>0</v>
      </c>
      <c r="I545" s="43">
        <v>0</v>
      </c>
      <c r="J545" s="43">
        <v>0</v>
      </c>
      <c r="K545" s="43">
        <f t="shared" si="73"/>
        <v>16</v>
      </c>
      <c r="L545" s="43">
        <v>5</v>
      </c>
      <c r="M545" s="43">
        <f t="shared" si="74"/>
        <v>11</v>
      </c>
      <c r="N545" s="55">
        <f t="shared" si="75"/>
        <v>0.3125</v>
      </c>
      <c r="O545" s="67" t="s">
        <v>497</v>
      </c>
      <c r="P545" s="5"/>
    </row>
    <row r="546" spans="1:16" ht="32.4" customHeight="1" x14ac:dyDescent="0.3">
      <c r="A546" t="s">
        <v>925</v>
      </c>
      <c r="B546" s="30">
        <v>23</v>
      </c>
      <c r="C546" s="16" t="s">
        <v>965</v>
      </c>
      <c r="D546" s="16" t="s">
        <v>1012</v>
      </c>
      <c r="E546" s="43">
        <v>40</v>
      </c>
      <c r="F546" s="43">
        <v>0</v>
      </c>
      <c r="G546" s="43">
        <v>0</v>
      </c>
      <c r="H546" s="43">
        <v>0</v>
      </c>
      <c r="I546" s="43">
        <v>0</v>
      </c>
      <c r="J546" s="43">
        <v>0</v>
      </c>
      <c r="K546" s="43">
        <f t="shared" si="73"/>
        <v>40</v>
      </c>
      <c r="L546" s="43">
        <v>13</v>
      </c>
      <c r="M546" s="43">
        <f t="shared" si="74"/>
        <v>27</v>
      </c>
      <c r="N546" s="55">
        <f t="shared" si="75"/>
        <v>0.32500000000000001</v>
      </c>
      <c r="O546" s="67" t="s">
        <v>497</v>
      </c>
      <c r="P546" s="5"/>
    </row>
    <row r="547" spans="1:16" ht="32.4" customHeight="1" x14ac:dyDescent="0.3">
      <c r="A547" t="s">
        <v>925</v>
      </c>
      <c r="B547" s="30">
        <v>24</v>
      </c>
      <c r="C547" s="16" t="s">
        <v>957</v>
      </c>
      <c r="D547" s="16" t="s">
        <v>1004</v>
      </c>
      <c r="E547" s="43">
        <f>16+8</f>
        <v>24</v>
      </c>
      <c r="F547" s="43">
        <v>0</v>
      </c>
      <c r="G547" s="43">
        <v>0</v>
      </c>
      <c r="H547" s="43">
        <v>0</v>
      </c>
      <c r="I547" s="43">
        <v>0</v>
      </c>
      <c r="J547" s="43">
        <v>0</v>
      </c>
      <c r="K547" s="43">
        <f t="shared" si="73"/>
        <v>24</v>
      </c>
      <c r="L547" s="43">
        <v>9</v>
      </c>
      <c r="M547" s="43">
        <f t="shared" si="74"/>
        <v>15</v>
      </c>
      <c r="N547" s="55">
        <f t="shared" si="75"/>
        <v>0.375</v>
      </c>
      <c r="O547" s="67" t="s">
        <v>497</v>
      </c>
      <c r="P547" s="5"/>
    </row>
    <row r="548" spans="1:16" ht="32.4" customHeight="1" x14ac:dyDescent="0.3">
      <c r="A548" t="s">
        <v>925</v>
      </c>
      <c r="B548" s="30">
        <v>25</v>
      </c>
      <c r="C548" s="16" t="s">
        <v>971</v>
      </c>
      <c r="D548" s="16" t="s">
        <v>1018</v>
      </c>
      <c r="E548" s="43">
        <f>16+8</f>
        <v>24</v>
      </c>
      <c r="F548" s="43">
        <v>0</v>
      </c>
      <c r="G548" s="43">
        <v>0</v>
      </c>
      <c r="H548" s="43">
        <v>0</v>
      </c>
      <c r="I548" s="43">
        <v>0</v>
      </c>
      <c r="J548" s="43">
        <v>0</v>
      </c>
      <c r="K548" s="43">
        <f t="shared" si="73"/>
        <v>24</v>
      </c>
      <c r="L548" s="43">
        <v>8</v>
      </c>
      <c r="M548" s="43">
        <f t="shared" si="74"/>
        <v>16</v>
      </c>
      <c r="N548" s="55">
        <f t="shared" si="75"/>
        <v>0.33333333333333331</v>
      </c>
      <c r="O548" s="67" t="s">
        <v>497</v>
      </c>
      <c r="P548" s="5"/>
    </row>
    <row r="549" spans="1:16" ht="32.4" customHeight="1" x14ac:dyDescent="0.3">
      <c r="A549" t="s">
        <v>925</v>
      </c>
      <c r="B549" s="30">
        <v>26</v>
      </c>
      <c r="C549" s="16" t="s">
        <v>937</v>
      </c>
      <c r="D549" s="16" t="s">
        <v>984</v>
      </c>
      <c r="E549" s="43">
        <v>28</v>
      </c>
      <c r="F549" s="43">
        <v>0</v>
      </c>
      <c r="G549" s="43">
        <v>0</v>
      </c>
      <c r="H549" s="43">
        <v>0</v>
      </c>
      <c r="I549" s="43">
        <v>0</v>
      </c>
      <c r="J549" s="43">
        <v>0</v>
      </c>
      <c r="K549" s="43">
        <f t="shared" si="73"/>
        <v>28</v>
      </c>
      <c r="L549" s="43">
        <v>10</v>
      </c>
      <c r="M549" s="43">
        <f t="shared" si="74"/>
        <v>18</v>
      </c>
      <c r="N549" s="55">
        <f t="shared" si="75"/>
        <v>0.35714285714285715</v>
      </c>
      <c r="O549" s="67" t="s">
        <v>497</v>
      </c>
      <c r="P549" s="5"/>
    </row>
    <row r="550" spans="1:16" ht="32.4" customHeight="1" x14ac:dyDescent="0.3">
      <c r="A550" t="s">
        <v>925</v>
      </c>
      <c r="B550" s="30">
        <v>27</v>
      </c>
      <c r="C550" s="16" t="s">
        <v>947</v>
      </c>
      <c r="D550" s="16" t="s">
        <v>994</v>
      </c>
      <c r="E550" s="43">
        <v>28</v>
      </c>
      <c r="F550" s="43">
        <v>0</v>
      </c>
      <c r="G550" s="43">
        <v>0</v>
      </c>
      <c r="H550" s="43">
        <v>0</v>
      </c>
      <c r="I550" s="43">
        <v>0</v>
      </c>
      <c r="J550" s="43">
        <v>0</v>
      </c>
      <c r="K550" s="43">
        <f t="shared" si="73"/>
        <v>28</v>
      </c>
      <c r="L550" s="43">
        <v>10</v>
      </c>
      <c r="M550" s="43">
        <f t="shared" si="74"/>
        <v>18</v>
      </c>
      <c r="N550" s="55">
        <f t="shared" si="75"/>
        <v>0.35714285714285715</v>
      </c>
      <c r="O550" s="67" t="s">
        <v>497</v>
      </c>
      <c r="P550" s="5"/>
    </row>
    <row r="551" spans="1:16" ht="32.4" customHeight="1" x14ac:dyDescent="0.3">
      <c r="A551" t="s">
        <v>925</v>
      </c>
      <c r="B551" s="30">
        <v>28</v>
      </c>
      <c r="C551" s="16" t="s">
        <v>959</v>
      </c>
      <c r="D551" s="16" t="s">
        <v>1006</v>
      </c>
      <c r="E551" s="43">
        <v>30</v>
      </c>
      <c r="F551" s="43">
        <v>0</v>
      </c>
      <c r="G551" s="43">
        <v>0</v>
      </c>
      <c r="H551" s="43">
        <v>0</v>
      </c>
      <c r="I551" s="43">
        <v>0</v>
      </c>
      <c r="J551" s="43">
        <v>0</v>
      </c>
      <c r="K551" s="43">
        <f t="shared" si="73"/>
        <v>30</v>
      </c>
      <c r="L551" s="43">
        <v>11</v>
      </c>
      <c r="M551" s="43">
        <f t="shared" si="74"/>
        <v>19</v>
      </c>
      <c r="N551" s="55">
        <f t="shared" si="75"/>
        <v>0.36666666666666664</v>
      </c>
      <c r="O551" s="67" t="s">
        <v>497</v>
      </c>
      <c r="P551" s="5"/>
    </row>
    <row r="552" spans="1:16" ht="32.4" customHeight="1" x14ac:dyDescent="0.3">
      <c r="A552" t="s">
        <v>925</v>
      </c>
      <c r="B552" s="30">
        <v>29</v>
      </c>
      <c r="C552" s="16" t="s">
        <v>955</v>
      </c>
      <c r="D552" s="16" t="s">
        <v>1002</v>
      </c>
      <c r="E552" s="43">
        <v>48</v>
      </c>
      <c r="F552" s="43">
        <v>0</v>
      </c>
      <c r="G552" s="43">
        <v>0</v>
      </c>
      <c r="H552" s="43">
        <v>0</v>
      </c>
      <c r="I552" s="43">
        <v>0</v>
      </c>
      <c r="J552" s="43">
        <v>0</v>
      </c>
      <c r="K552" s="43">
        <f t="shared" si="73"/>
        <v>48</v>
      </c>
      <c r="L552" s="43">
        <v>18</v>
      </c>
      <c r="M552" s="43">
        <f t="shared" si="74"/>
        <v>30</v>
      </c>
      <c r="N552" s="55">
        <f t="shared" si="75"/>
        <v>0.375</v>
      </c>
      <c r="O552" s="67" t="s">
        <v>497</v>
      </c>
      <c r="P552" s="5"/>
    </row>
    <row r="553" spans="1:16" ht="32.4" customHeight="1" x14ac:dyDescent="0.3">
      <c r="A553" t="s">
        <v>925</v>
      </c>
      <c r="B553" s="30">
        <v>30</v>
      </c>
      <c r="C553" s="16" t="s">
        <v>962</v>
      </c>
      <c r="D553" s="16" t="s">
        <v>1009</v>
      </c>
      <c r="E553" s="43">
        <v>50</v>
      </c>
      <c r="F553" s="43">
        <v>0</v>
      </c>
      <c r="G553" s="43">
        <v>0</v>
      </c>
      <c r="H553" s="43">
        <v>0</v>
      </c>
      <c r="I553" s="43">
        <v>0</v>
      </c>
      <c r="J553" s="43">
        <v>0</v>
      </c>
      <c r="K553" s="43">
        <f t="shared" si="73"/>
        <v>50</v>
      </c>
      <c r="L553" s="43">
        <v>19</v>
      </c>
      <c r="M553" s="43">
        <f t="shared" si="74"/>
        <v>31</v>
      </c>
      <c r="N553" s="55">
        <f t="shared" si="75"/>
        <v>0.38</v>
      </c>
      <c r="O553" s="67" t="s">
        <v>497</v>
      </c>
      <c r="P553" s="5"/>
    </row>
    <row r="554" spans="1:16" ht="32.4" customHeight="1" x14ac:dyDescent="0.3">
      <c r="A554" t="s">
        <v>925</v>
      </c>
      <c r="B554" s="30">
        <v>31</v>
      </c>
      <c r="C554" s="16" t="s">
        <v>961</v>
      </c>
      <c r="D554" s="16" t="s">
        <v>1008</v>
      </c>
      <c r="E554" s="43">
        <v>40</v>
      </c>
      <c r="F554" s="43">
        <v>0</v>
      </c>
      <c r="G554" s="43">
        <v>0</v>
      </c>
      <c r="H554" s="43">
        <v>0</v>
      </c>
      <c r="I554" s="43">
        <v>0</v>
      </c>
      <c r="J554" s="43">
        <v>0</v>
      </c>
      <c r="K554" s="43">
        <f t="shared" si="73"/>
        <v>40</v>
      </c>
      <c r="L554" s="43">
        <v>16</v>
      </c>
      <c r="M554" s="43">
        <f t="shared" si="74"/>
        <v>24</v>
      </c>
      <c r="N554" s="55">
        <f t="shared" si="75"/>
        <v>0.4</v>
      </c>
      <c r="O554" s="67" t="s">
        <v>497</v>
      </c>
      <c r="P554" s="5"/>
    </row>
    <row r="555" spans="1:16" ht="32.4" customHeight="1" x14ac:dyDescent="0.3">
      <c r="A555" t="s">
        <v>925</v>
      </c>
      <c r="B555" s="30">
        <v>32</v>
      </c>
      <c r="C555" s="16" t="s">
        <v>933</v>
      </c>
      <c r="D555" s="16" t="s">
        <v>980</v>
      </c>
      <c r="E555" s="43">
        <f>16+4</f>
        <v>20</v>
      </c>
      <c r="F555" s="43">
        <v>0</v>
      </c>
      <c r="G555" s="43">
        <v>0</v>
      </c>
      <c r="H555" s="43">
        <v>0</v>
      </c>
      <c r="I555" s="43">
        <v>0</v>
      </c>
      <c r="J555" s="43">
        <v>0</v>
      </c>
      <c r="K555" s="43">
        <f t="shared" si="73"/>
        <v>20</v>
      </c>
      <c r="L555" s="43">
        <v>8</v>
      </c>
      <c r="M555" s="43">
        <f t="shared" si="74"/>
        <v>12</v>
      </c>
      <c r="N555" s="55">
        <f t="shared" si="75"/>
        <v>0.4</v>
      </c>
      <c r="O555" s="67" t="s">
        <v>497</v>
      </c>
      <c r="P555" s="5"/>
    </row>
    <row r="556" spans="1:16" ht="32.4" customHeight="1" x14ac:dyDescent="0.3">
      <c r="A556" t="s">
        <v>925</v>
      </c>
      <c r="B556" s="30">
        <v>33</v>
      </c>
      <c r="C556" s="16" t="s">
        <v>934</v>
      </c>
      <c r="D556" s="16" t="s">
        <v>981</v>
      </c>
      <c r="E556" s="43">
        <f>16+4</f>
        <v>20</v>
      </c>
      <c r="F556" s="43">
        <v>0</v>
      </c>
      <c r="G556" s="43">
        <v>0</v>
      </c>
      <c r="H556" s="43">
        <v>0</v>
      </c>
      <c r="I556" s="43">
        <v>0</v>
      </c>
      <c r="J556" s="43">
        <v>0</v>
      </c>
      <c r="K556" s="43">
        <f t="shared" ref="K556:K576" si="76">E556-F556-G556-H556-I556-J556</f>
        <v>20</v>
      </c>
      <c r="L556" s="43">
        <v>8</v>
      </c>
      <c r="M556" s="43">
        <f t="shared" ref="M556:M576" si="77">K556-L556</f>
        <v>12</v>
      </c>
      <c r="N556" s="55">
        <f t="shared" ref="N556:N576" si="78">L556/K556</f>
        <v>0.4</v>
      </c>
      <c r="O556" s="67" t="s">
        <v>497</v>
      </c>
      <c r="P556" s="5"/>
    </row>
    <row r="557" spans="1:16" ht="32.4" customHeight="1" x14ac:dyDescent="0.3">
      <c r="A557" t="s">
        <v>925</v>
      </c>
      <c r="B557" s="30">
        <v>34</v>
      </c>
      <c r="C557" s="16" t="s">
        <v>956</v>
      </c>
      <c r="D557" s="16" t="s">
        <v>1003</v>
      </c>
      <c r="E557" s="43">
        <v>32</v>
      </c>
      <c r="F557" s="43">
        <v>0</v>
      </c>
      <c r="G557" s="43">
        <v>0</v>
      </c>
      <c r="H557" s="43">
        <v>0</v>
      </c>
      <c r="I557" s="43">
        <v>0</v>
      </c>
      <c r="J557" s="43">
        <v>0</v>
      </c>
      <c r="K557" s="43">
        <f t="shared" si="76"/>
        <v>32</v>
      </c>
      <c r="L557" s="43">
        <v>13</v>
      </c>
      <c r="M557" s="43">
        <f t="shared" si="77"/>
        <v>19</v>
      </c>
      <c r="N557" s="55">
        <f t="shared" si="78"/>
        <v>0.40625</v>
      </c>
      <c r="O557" s="67" t="s">
        <v>497</v>
      </c>
      <c r="P557" s="5"/>
    </row>
    <row r="558" spans="1:16" ht="32.4" customHeight="1" x14ac:dyDescent="0.3">
      <c r="A558" t="s">
        <v>925</v>
      </c>
      <c r="B558" s="30">
        <v>35</v>
      </c>
      <c r="C558" s="16" t="s">
        <v>929</v>
      </c>
      <c r="D558" s="16" t="s">
        <v>976</v>
      </c>
      <c r="E558" s="43">
        <v>36</v>
      </c>
      <c r="F558" s="43">
        <v>0</v>
      </c>
      <c r="G558" s="43">
        <v>0</v>
      </c>
      <c r="H558" s="43">
        <v>0</v>
      </c>
      <c r="I558" s="43">
        <v>0</v>
      </c>
      <c r="J558" s="43">
        <v>0</v>
      </c>
      <c r="K558" s="43">
        <f t="shared" si="76"/>
        <v>36</v>
      </c>
      <c r="L558" s="43">
        <v>17</v>
      </c>
      <c r="M558" s="43">
        <f t="shared" si="77"/>
        <v>19</v>
      </c>
      <c r="N558" s="55">
        <f t="shared" si="78"/>
        <v>0.47222222222222221</v>
      </c>
      <c r="O558" s="67" t="s">
        <v>497</v>
      </c>
      <c r="P558" s="5"/>
    </row>
    <row r="559" spans="1:16" ht="32.4" customHeight="1" x14ac:dyDescent="0.3">
      <c r="A559" t="s">
        <v>925</v>
      </c>
      <c r="B559" s="30">
        <v>36</v>
      </c>
      <c r="C559" s="16" t="s">
        <v>960</v>
      </c>
      <c r="D559" s="16" t="s">
        <v>1007</v>
      </c>
      <c r="E559" s="43">
        <v>50</v>
      </c>
      <c r="F559" s="43">
        <v>0</v>
      </c>
      <c r="G559" s="43">
        <v>0</v>
      </c>
      <c r="H559" s="43">
        <v>0</v>
      </c>
      <c r="I559" s="43">
        <v>0</v>
      </c>
      <c r="J559" s="43">
        <v>0</v>
      </c>
      <c r="K559" s="43">
        <f t="shared" si="76"/>
        <v>50</v>
      </c>
      <c r="L559" s="43">
        <v>24</v>
      </c>
      <c r="M559" s="43">
        <f t="shared" si="77"/>
        <v>26</v>
      </c>
      <c r="N559" s="55">
        <f t="shared" si="78"/>
        <v>0.48</v>
      </c>
      <c r="O559" s="67" t="s">
        <v>497</v>
      </c>
      <c r="P559" s="5"/>
    </row>
    <row r="560" spans="1:16" ht="32.4" customHeight="1" x14ac:dyDescent="0.3">
      <c r="A560" t="s">
        <v>925</v>
      </c>
      <c r="B560" s="30">
        <v>37</v>
      </c>
      <c r="C560" s="16" t="s">
        <v>936</v>
      </c>
      <c r="D560" s="16" t="s">
        <v>983</v>
      </c>
      <c r="E560" s="43">
        <f>16+4</f>
        <v>20</v>
      </c>
      <c r="F560" s="43">
        <v>0</v>
      </c>
      <c r="G560" s="43">
        <v>0</v>
      </c>
      <c r="H560" s="43">
        <v>0</v>
      </c>
      <c r="I560" s="43">
        <v>0</v>
      </c>
      <c r="J560" s="43">
        <v>0</v>
      </c>
      <c r="K560" s="43">
        <f t="shared" si="76"/>
        <v>20</v>
      </c>
      <c r="L560" s="43">
        <v>10</v>
      </c>
      <c r="M560" s="43">
        <f t="shared" si="77"/>
        <v>10</v>
      </c>
      <c r="N560" s="55">
        <f t="shared" si="78"/>
        <v>0.5</v>
      </c>
      <c r="O560" s="67" t="s">
        <v>497</v>
      </c>
      <c r="P560" s="5"/>
    </row>
    <row r="561" spans="1:16" ht="32.4" customHeight="1" x14ac:dyDescent="0.3">
      <c r="A561" t="s">
        <v>925</v>
      </c>
      <c r="B561" s="30">
        <v>38</v>
      </c>
      <c r="C561" s="16" t="s">
        <v>949</v>
      </c>
      <c r="D561" s="16" t="s">
        <v>996</v>
      </c>
      <c r="E561" s="43">
        <f>16+4</f>
        <v>20</v>
      </c>
      <c r="F561" s="43">
        <v>0</v>
      </c>
      <c r="G561" s="43">
        <v>0</v>
      </c>
      <c r="H561" s="43">
        <v>0</v>
      </c>
      <c r="I561" s="43">
        <v>0</v>
      </c>
      <c r="J561" s="43">
        <v>0</v>
      </c>
      <c r="K561" s="43">
        <f t="shared" si="76"/>
        <v>20</v>
      </c>
      <c r="L561" s="43">
        <v>10</v>
      </c>
      <c r="M561" s="43">
        <f t="shared" si="77"/>
        <v>10</v>
      </c>
      <c r="N561" s="55">
        <f t="shared" si="78"/>
        <v>0.5</v>
      </c>
      <c r="O561" s="67" t="s">
        <v>497</v>
      </c>
      <c r="P561" s="5"/>
    </row>
    <row r="562" spans="1:16" ht="32.4" customHeight="1" x14ac:dyDescent="0.3">
      <c r="A562" t="s">
        <v>925</v>
      </c>
      <c r="B562" s="30">
        <v>39</v>
      </c>
      <c r="C562" s="16" t="s">
        <v>948</v>
      </c>
      <c r="D562" s="16" t="s">
        <v>995</v>
      </c>
      <c r="E562" s="43">
        <f>16+8</f>
        <v>24</v>
      </c>
      <c r="F562" s="43">
        <v>0</v>
      </c>
      <c r="G562" s="43">
        <v>0</v>
      </c>
      <c r="H562" s="43">
        <v>0</v>
      </c>
      <c r="I562" s="43">
        <v>0</v>
      </c>
      <c r="J562" s="43">
        <v>0</v>
      </c>
      <c r="K562" s="43">
        <f t="shared" si="76"/>
        <v>24</v>
      </c>
      <c r="L562" s="43">
        <v>12</v>
      </c>
      <c r="M562" s="43">
        <f t="shared" si="77"/>
        <v>12</v>
      </c>
      <c r="N562" s="55">
        <f t="shared" si="78"/>
        <v>0.5</v>
      </c>
      <c r="O562" s="67" t="s">
        <v>497</v>
      </c>
      <c r="P562" s="5"/>
    </row>
    <row r="563" spans="1:16" ht="32.4" customHeight="1" x14ac:dyDescent="0.3">
      <c r="A563" t="s">
        <v>925</v>
      </c>
      <c r="B563" s="30">
        <v>40</v>
      </c>
      <c r="C563" s="16" t="s">
        <v>930</v>
      </c>
      <c r="D563" s="16" t="s">
        <v>977</v>
      </c>
      <c r="E563" s="43">
        <f>16+8</f>
        <v>24</v>
      </c>
      <c r="F563" s="43">
        <v>0</v>
      </c>
      <c r="G563" s="43">
        <v>0</v>
      </c>
      <c r="H563" s="43">
        <v>0</v>
      </c>
      <c r="I563" s="43">
        <v>0</v>
      </c>
      <c r="J563" s="43">
        <v>0</v>
      </c>
      <c r="K563" s="43">
        <f t="shared" si="76"/>
        <v>24</v>
      </c>
      <c r="L563" s="43">
        <v>12</v>
      </c>
      <c r="M563" s="43">
        <f t="shared" si="77"/>
        <v>12</v>
      </c>
      <c r="N563" s="55">
        <f t="shared" si="78"/>
        <v>0.5</v>
      </c>
      <c r="O563" s="67" t="s">
        <v>497</v>
      </c>
      <c r="P563" s="5"/>
    </row>
    <row r="564" spans="1:16" ht="32.4" customHeight="1" x14ac:dyDescent="0.3">
      <c r="A564" t="s">
        <v>925</v>
      </c>
      <c r="B564" s="30">
        <v>41</v>
      </c>
      <c r="C564" s="16" t="s">
        <v>951</v>
      </c>
      <c r="D564" s="16" t="s">
        <v>998</v>
      </c>
      <c r="E564" s="43">
        <f>16+16</f>
        <v>32</v>
      </c>
      <c r="F564" s="43">
        <v>0</v>
      </c>
      <c r="G564" s="43">
        <v>0</v>
      </c>
      <c r="H564" s="43">
        <v>0</v>
      </c>
      <c r="I564" s="43">
        <v>0</v>
      </c>
      <c r="J564" s="43">
        <v>0</v>
      </c>
      <c r="K564" s="43">
        <f t="shared" si="76"/>
        <v>32</v>
      </c>
      <c r="L564" s="43">
        <v>18</v>
      </c>
      <c r="M564" s="43">
        <f t="shared" si="77"/>
        <v>14</v>
      </c>
      <c r="N564" s="46">
        <f t="shared" si="78"/>
        <v>0.5625</v>
      </c>
      <c r="O564" s="70" t="s">
        <v>498</v>
      </c>
      <c r="P564" s="5"/>
    </row>
    <row r="565" spans="1:16" ht="32.4" customHeight="1" x14ac:dyDescent="0.3">
      <c r="A565" t="s">
        <v>925</v>
      </c>
      <c r="B565" s="30">
        <v>42</v>
      </c>
      <c r="C565" s="16" t="s">
        <v>932</v>
      </c>
      <c r="D565" s="16" t="s">
        <v>979</v>
      </c>
      <c r="E565" s="43">
        <f>16+16</f>
        <v>32</v>
      </c>
      <c r="F565" s="43">
        <v>0</v>
      </c>
      <c r="G565" s="43">
        <v>0</v>
      </c>
      <c r="H565" s="43">
        <v>0</v>
      </c>
      <c r="I565" s="43">
        <v>0</v>
      </c>
      <c r="J565" s="43">
        <v>0</v>
      </c>
      <c r="K565" s="43">
        <f t="shared" si="76"/>
        <v>32</v>
      </c>
      <c r="L565" s="43">
        <v>18</v>
      </c>
      <c r="M565" s="43">
        <f t="shared" si="77"/>
        <v>14</v>
      </c>
      <c r="N565" s="46">
        <f t="shared" si="78"/>
        <v>0.5625</v>
      </c>
      <c r="O565" s="70" t="s">
        <v>498</v>
      </c>
      <c r="P565" s="5"/>
    </row>
    <row r="566" spans="1:16" ht="32.4" customHeight="1" x14ac:dyDescent="0.3">
      <c r="A566" t="s">
        <v>925</v>
      </c>
      <c r="B566" s="30">
        <v>43</v>
      </c>
      <c r="C566" s="16" t="s">
        <v>927</v>
      </c>
      <c r="D566" s="16" t="s">
        <v>974</v>
      </c>
      <c r="E566" s="43">
        <f>16+12</f>
        <v>28</v>
      </c>
      <c r="F566" s="43">
        <v>0</v>
      </c>
      <c r="G566" s="43">
        <v>0</v>
      </c>
      <c r="H566" s="43">
        <v>0</v>
      </c>
      <c r="I566" s="43">
        <v>0</v>
      </c>
      <c r="J566" s="43">
        <v>0</v>
      </c>
      <c r="K566" s="43">
        <f t="shared" si="76"/>
        <v>28</v>
      </c>
      <c r="L566" s="43">
        <v>15</v>
      </c>
      <c r="M566" s="43">
        <f t="shared" si="77"/>
        <v>13</v>
      </c>
      <c r="N566" s="46">
        <f t="shared" si="78"/>
        <v>0.5357142857142857</v>
      </c>
      <c r="O566" s="70" t="s">
        <v>498</v>
      </c>
      <c r="P566" s="5"/>
    </row>
    <row r="567" spans="1:16" ht="32.4" customHeight="1" x14ac:dyDescent="0.3">
      <c r="A567" t="s">
        <v>925</v>
      </c>
      <c r="B567" s="30">
        <v>44</v>
      </c>
      <c r="C567" s="16" t="s">
        <v>945</v>
      </c>
      <c r="D567" s="16" t="s">
        <v>992</v>
      </c>
      <c r="E567" s="43">
        <f>16+12</f>
        <v>28</v>
      </c>
      <c r="F567" s="43">
        <v>0</v>
      </c>
      <c r="G567" s="43">
        <v>0</v>
      </c>
      <c r="H567" s="43">
        <v>0</v>
      </c>
      <c r="I567" s="43">
        <v>0</v>
      </c>
      <c r="J567" s="43">
        <v>0</v>
      </c>
      <c r="K567" s="43">
        <f t="shared" si="76"/>
        <v>28</v>
      </c>
      <c r="L567" s="43">
        <v>15</v>
      </c>
      <c r="M567" s="43">
        <f t="shared" si="77"/>
        <v>13</v>
      </c>
      <c r="N567" s="46">
        <f t="shared" si="78"/>
        <v>0.5357142857142857</v>
      </c>
      <c r="O567" s="70" t="s">
        <v>498</v>
      </c>
      <c r="P567" s="5"/>
    </row>
    <row r="568" spans="1:16" ht="32.4" customHeight="1" x14ac:dyDescent="0.3">
      <c r="A568" t="s">
        <v>925</v>
      </c>
      <c r="B568" s="30">
        <v>45</v>
      </c>
      <c r="C568" s="16" t="s">
        <v>952</v>
      </c>
      <c r="D568" s="16" t="s">
        <v>999</v>
      </c>
      <c r="E568" s="43">
        <v>20</v>
      </c>
      <c r="F568" s="43">
        <v>0</v>
      </c>
      <c r="G568" s="43">
        <v>0</v>
      </c>
      <c r="H568" s="43">
        <v>0</v>
      </c>
      <c r="I568" s="43">
        <v>0</v>
      </c>
      <c r="J568" s="43">
        <v>0</v>
      </c>
      <c r="K568" s="43">
        <f t="shared" si="76"/>
        <v>20</v>
      </c>
      <c r="L568" s="43">
        <v>11</v>
      </c>
      <c r="M568" s="43">
        <f t="shared" si="77"/>
        <v>9</v>
      </c>
      <c r="N568" s="46">
        <f t="shared" si="78"/>
        <v>0.55000000000000004</v>
      </c>
      <c r="O568" s="70" t="s">
        <v>498</v>
      </c>
      <c r="P568" s="5"/>
    </row>
    <row r="569" spans="1:16" ht="32.4" customHeight="1" x14ac:dyDescent="0.3">
      <c r="A569" t="s">
        <v>925</v>
      </c>
      <c r="B569" s="30">
        <v>46</v>
      </c>
      <c r="C569" s="16" t="s">
        <v>935</v>
      </c>
      <c r="D569" s="16" t="s">
        <v>982</v>
      </c>
      <c r="E569" s="43">
        <f>16+16</f>
        <v>32</v>
      </c>
      <c r="F569" s="43">
        <v>0</v>
      </c>
      <c r="G569" s="43">
        <v>0</v>
      </c>
      <c r="H569" s="43">
        <v>0</v>
      </c>
      <c r="I569" s="43">
        <v>0</v>
      </c>
      <c r="J569" s="43">
        <v>0</v>
      </c>
      <c r="K569" s="43">
        <f t="shared" si="76"/>
        <v>32</v>
      </c>
      <c r="L569" s="43">
        <v>19</v>
      </c>
      <c r="M569" s="43">
        <f t="shared" si="77"/>
        <v>13</v>
      </c>
      <c r="N569" s="46">
        <f t="shared" si="78"/>
        <v>0.59375</v>
      </c>
      <c r="O569" s="70" t="s">
        <v>498</v>
      </c>
      <c r="P569" s="5"/>
    </row>
    <row r="570" spans="1:16" ht="32.4" customHeight="1" x14ac:dyDescent="0.3">
      <c r="A570" t="s">
        <v>925</v>
      </c>
      <c r="B570" s="30">
        <v>47</v>
      </c>
      <c r="C570" s="16" t="s">
        <v>928</v>
      </c>
      <c r="D570" s="16" t="s">
        <v>975</v>
      </c>
      <c r="E570" s="43">
        <v>24</v>
      </c>
      <c r="F570" s="43">
        <v>0</v>
      </c>
      <c r="G570" s="43">
        <v>0</v>
      </c>
      <c r="H570" s="43">
        <v>0</v>
      </c>
      <c r="I570" s="43">
        <v>0</v>
      </c>
      <c r="J570" s="43">
        <v>0</v>
      </c>
      <c r="K570" s="43">
        <f t="shared" si="76"/>
        <v>24</v>
      </c>
      <c r="L570" s="43">
        <v>14</v>
      </c>
      <c r="M570" s="43">
        <f t="shared" si="77"/>
        <v>10</v>
      </c>
      <c r="N570" s="46">
        <f t="shared" si="78"/>
        <v>0.58333333333333337</v>
      </c>
      <c r="O570" s="70" t="s">
        <v>498</v>
      </c>
      <c r="P570" s="5"/>
    </row>
    <row r="571" spans="1:16" ht="32.4" customHeight="1" x14ac:dyDescent="0.3">
      <c r="A571" t="s">
        <v>925</v>
      </c>
      <c r="B571" s="30">
        <v>48</v>
      </c>
      <c r="C571" s="16" t="s">
        <v>968</v>
      </c>
      <c r="D571" s="16" t="s">
        <v>1015</v>
      </c>
      <c r="E571" s="43">
        <v>70</v>
      </c>
      <c r="F571" s="43">
        <v>0</v>
      </c>
      <c r="G571" s="43">
        <v>0</v>
      </c>
      <c r="H571" s="43">
        <v>0</v>
      </c>
      <c r="I571" s="43">
        <v>0</v>
      </c>
      <c r="J571" s="43">
        <v>0</v>
      </c>
      <c r="K571" s="43">
        <f t="shared" si="76"/>
        <v>70</v>
      </c>
      <c r="L571" s="43">
        <v>41</v>
      </c>
      <c r="M571" s="43">
        <f t="shared" si="77"/>
        <v>29</v>
      </c>
      <c r="N571" s="46">
        <f t="shared" si="78"/>
        <v>0.58571428571428574</v>
      </c>
      <c r="O571" s="70" t="s">
        <v>498</v>
      </c>
      <c r="P571" s="5"/>
    </row>
    <row r="572" spans="1:16" ht="32.4" customHeight="1" x14ac:dyDescent="0.3">
      <c r="A572" t="s">
        <v>925</v>
      </c>
      <c r="B572" s="30">
        <v>49</v>
      </c>
      <c r="C572" s="16" t="s">
        <v>970</v>
      </c>
      <c r="D572" s="16" t="s">
        <v>1017</v>
      </c>
      <c r="E572" s="43">
        <v>24</v>
      </c>
      <c r="F572" s="43">
        <v>0</v>
      </c>
      <c r="G572" s="43">
        <v>0</v>
      </c>
      <c r="H572" s="43">
        <v>0</v>
      </c>
      <c r="I572" s="43">
        <v>0</v>
      </c>
      <c r="J572" s="43">
        <v>0</v>
      </c>
      <c r="K572" s="43">
        <f t="shared" si="76"/>
        <v>24</v>
      </c>
      <c r="L572" s="43">
        <v>15</v>
      </c>
      <c r="M572" s="43">
        <f t="shared" si="77"/>
        <v>9</v>
      </c>
      <c r="N572" s="46">
        <f t="shared" si="78"/>
        <v>0.625</v>
      </c>
      <c r="O572" s="70" t="s">
        <v>498</v>
      </c>
      <c r="P572" s="5"/>
    </row>
    <row r="573" spans="1:16" ht="32.4" customHeight="1" x14ac:dyDescent="0.3">
      <c r="A573" t="s">
        <v>925</v>
      </c>
      <c r="B573" s="30">
        <v>50</v>
      </c>
      <c r="C573" s="16" t="s">
        <v>946</v>
      </c>
      <c r="D573" s="16" t="s">
        <v>993</v>
      </c>
      <c r="E573" s="43">
        <v>24</v>
      </c>
      <c r="F573" s="43">
        <v>0</v>
      </c>
      <c r="G573" s="43">
        <v>0</v>
      </c>
      <c r="H573" s="43">
        <v>0</v>
      </c>
      <c r="I573" s="43">
        <v>0</v>
      </c>
      <c r="J573" s="43">
        <v>0</v>
      </c>
      <c r="K573" s="43">
        <f t="shared" si="76"/>
        <v>24</v>
      </c>
      <c r="L573" s="43">
        <v>15</v>
      </c>
      <c r="M573" s="43">
        <f t="shared" si="77"/>
        <v>9</v>
      </c>
      <c r="N573" s="46">
        <f t="shared" si="78"/>
        <v>0.625</v>
      </c>
      <c r="O573" s="70" t="s">
        <v>498</v>
      </c>
      <c r="P573" s="5"/>
    </row>
    <row r="574" spans="1:16" ht="32.4" customHeight="1" x14ac:dyDescent="0.3">
      <c r="A574" t="s">
        <v>925</v>
      </c>
      <c r="B574" s="30">
        <v>51</v>
      </c>
      <c r="C574" s="16" t="s">
        <v>931</v>
      </c>
      <c r="D574" s="16" t="s">
        <v>978</v>
      </c>
      <c r="E574" s="43">
        <f>32+8</f>
        <v>40</v>
      </c>
      <c r="F574" s="43">
        <v>0</v>
      </c>
      <c r="G574" s="43">
        <v>0</v>
      </c>
      <c r="H574" s="43">
        <v>0</v>
      </c>
      <c r="I574" s="43">
        <v>0</v>
      </c>
      <c r="J574" s="43">
        <v>0</v>
      </c>
      <c r="K574" s="43">
        <f t="shared" si="76"/>
        <v>40</v>
      </c>
      <c r="L574" s="43">
        <v>31</v>
      </c>
      <c r="M574" s="43">
        <f t="shared" si="77"/>
        <v>9</v>
      </c>
      <c r="N574" s="52">
        <f t="shared" si="78"/>
        <v>0.77500000000000002</v>
      </c>
      <c r="O574" s="74" t="s">
        <v>495</v>
      </c>
      <c r="P574" s="5"/>
    </row>
    <row r="575" spans="1:16" ht="32.4" customHeight="1" x14ac:dyDescent="0.3">
      <c r="A575" t="s">
        <v>925</v>
      </c>
      <c r="B575" s="30">
        <v>52</v>
      </c>
      <c r="C575" s="16" t="s">
        <v>944</v>
      </c>
      <c r="D575" s="16" t="s">
        <v>991</v>
      </c>
      <c r="E575" s="43">
        <v>60</v>
      </c>
      <c r="F575" s="43">
        <v>0</v>
      </c>
      <c r="G575" s="43">
        <v>0</v>
      </c>
      <c r="H575" s="43">
        <v>0</v>
      </c>
      <c r="I575" s="43">
        <v>0</v>
      </c>
      <c r="J575" s="43">
        <v>0</v>
      </c>
      <c r="K575" s="43">
        <f t="shared" si="76"/>
        <v>60</v>
      </c>
      <c r="L575" s="43">
        <v>53</v>
      </c>
      <c r="M575" s="43">
        <f t="shared" si="77"/>
        <v>7</v>
      </c>
      <c r="N575" s="52">
        <f t="shared" si="78"/>
        <v>0.8833333333333333</v>
      </c>
      <c r="O575" s="74" t="s">
        <v>495</v>
      </c>
      <c r="P575" s="5"/>
    </row>
    <row r="576" spans="1:16" ht="31.2" customHeight="1" x14ac:dyDescent="0.3">
      <c r="A576" t="s">
        <v>925</v>
      </c>
      <c r="B576" s="30">
        <v>53</v>
      </c>
      <c r="C576" s="16" t="s">
        <v>926</v>
      </c>
      <c r="D576" s="16" t="s">
        <v>973</v>
      </c>
      <c r="E576" s="43">
        <v>32</v>
      </c>
      <c r="F576" s="43">
        <v>0</v>
      </c>
      <c r="G576" s="43">
        <v>0</v>
      </c>
      <c r="H576" s="43">
        <v>0</v>
      </c>
      <c r="I576" s="43">
        <v>0</v>
      </c>
      <c r="J576" s="43">
        <v>0</v>
      </c>
      <c r="K576" s="43">
        <f t="shared" si="76"/>
        <v>32</v>
      </c>
      <c r="L576" s="43">
        <v>31</v>
      </c>
      <c r="M576" s="43">
        <f t="shared" si="77"/>
        <v>1</v>
      </c>
      <c r="N576" s="52">
        <f t="shared" si="78"/>
        <v>0.96875</v>
      </c>
      <c r="O576" s="74" t="s">
        <v>495</v>
      </c>
      <c r="P576" s="5"/>
    </row>
    <row r="577" spans="1:15" ht="30" customHeight="1" x14ac:dyDescent="0.5">
      <c r="A577" t="s">
        <v>839</v>
      </c>
      <c r="B577" s="18">
        <v>1</v>
      </c>
      <c r="C577" s="10" t="s">
        <v>1097</v>
      </c>
      <c r="D577" s="11" t="s">
        <v>1098</v>
      </c>
      <c r="E577" s="18">
        <v>18</v>
      </c>
      <c r="F577" s="18">
        <v>0</v>
      </c>
      <c r="G577" s="18">
        <v>0</v>
      </c>
      <c r="H577" s="18">
        <v>0</v>
      </c>
      <c r="I577" s="18">
        <v>0</v>
      </c>
      <c r="J577" s="18">
        <v>0</v>
      </c>
      <c r="K577" s="18">
        <v>18</v>
      </c>
      <c r="L577" s="18">
        <v>0</v>
      </c>
      <c r="M577" s="18">
        <f t="shared" ref="M577:M591" si="79">K577-L577</f>
        <v>18</v>
      </c>
      <c r="N577" s="88">
        <f t="shared" ref="N577:N610" si="80">L577/K577</f>
        <v>0</v>
      </c>
      <c r="O577" s="79" t="s">
        <v>500</v>
      </c>
    </row>
    <row r="578" spans="1:15" ht="30" customHeight="1" x14ac:dyDescent="0.5">
      <c r="A578" t="s">
        <v>839</v>
      </c>
      <c r="B578" s="18">
        <v>2</v>
      </c>
      <c r="C578" s="10" t="s">
        <v>1160</v>
      </c>
      <c r="D578" s="11" t="s">
        <v>1161</v>
      </c>
      <c r="E578" s="18">
        <v>60</v>
      </c>
      <c r="F578" s="18">
        <v>0</v>
      </c>
      <c r="G578" s="18">
        <v>0</v>
      </c>
      <c r="H578" s="18">
        <v>0</v>
      </c>
      <c r="I578" s="18">
        <v>0</v>
      </c>
      <c r="J578" s="18">
        <v>0</v>
      </c>
      <c r="K578" s="18">
        <v>60</v>
      </c>
      <c r="L578" s="18">
        <v>0</v>
      </c>
      <c r="M578" s="18">
        <f t="shared" si="79"/>
        <v>60</v>
      </c>
      <c r="N578" s="88">
        <f t="shared" si="80"/>
        <v>0</v>
      </c>
      <c r="O578" s="79" t="s">
        <v>500</v>
      </c>
    </row>
    <row r="579" spans="1:15" ht="30" customHeight="1" x14ac:dyDescent="0.5">
      <c r="A579" t="s">
        <v>839</v>
      </c>
      <c r="B579" s="18">
        <v>3</v>
      </c>
      <c r="C579" s="10" t="s">
        <v>1164</v>
      </c>
      <c r="D579" s="11" t="s">
        <v>1165</v>
      </c>
      <c r="E579" s="18">
        <v>30</v>
      </c>
      <c r="F579" s="18">
        <v>0</v>
      </c>
      <c r="G579" s="18">
        <v>0</v>
      </c>
      <c r="H579" s="18">
        <v>0</v>
      </c>
      <c r="I579" s="18">
        <v>0</v>
      </c>
      <c r="J579" s="18">
        <v>0</v>
      </c>
      <c r="K579" s="18">
        <v>30</v>
      </c>
      <c r="L579" s="18">
        <v>0</v>
      </c>
      <c r="M579" s="18">
        <f t="shared" si="79"/>
        <v>30</v>
      </c>
      <c r="N579" s="88">
        <f t="shared" si="80"/>
        <v>0</v>
      </c>
      <c r="O579" s="79" t="s">
        <v>500</v>
      </c>
    </row>
    <row r="580" spans="1:15" ht="30" customHeight="1" x14ac:dyDescent="0.5">
      <c r="A580" t="s">
        <v>839</v>
      </c>
      <c r="B580" s="18">
        <v>7</v>
      </c>
      <c r="C580" s="10" t="s">
        <v>1166</v>
      </c>
      <c r="D580" s="11" t="s">
        <v>1167</v>
      </c>
      <c r="E580" s="18">
        <v>30</v>
      </c>
      <c r="F580" s="18">
        <v>0</v>
      </c>
      <c r="G580" s="18">
        <v>0</v>
      </c>
      <c r="H580" s="18">
        <v>0</v>
      </c>
      <c r="I580" s="18">
        <v>0</v>
      </c>
      <c r="J580" s="18">
        <v>0</v>
      </c>
      <c r="K580" s="18">
        <v>30</v>
      </c>
      <c r="L580" s="18">
        <v>1</v>
      </c>
      <c r="M580" s="18">
        <f t="shared" si="79"/>
        <v>29</v>
      </c>
      <c r="N580" s="53">
        <f t="shared" si="80"/>
        <v>3.3333333333333333E-2</v>
      </c>
      <c r="O580" s="54" t="s">
        <v>496</v>
      </c>
    </row>
    <row r="581" spans="1:15" ht="30" customHeight="1" x14ac:dyDescent="0.5">
      <c r="A581" t="s">
        <v>839</v>
      </c>
      <c r="B581" s="18">
        <v>8</v>
      </c>
      <c r="C581" s="10" t="s">
        <v>1168</v>
      </c>
      <c r="D581" s="11" t="s">
        <v>1169</v>
      </c>
      <c r="E581" s="18">
        <v>30</v>
      </c>
      <c r="F581" s="18">
        <v>0</v>
      </c>
      <c r="G581" s="18">
        <v>0</v>
      </c>
      <c r="H581" s="18">
        <v>0</v>
      </c>
      <c r="I581" s="18">
        <v>0</v>
      </c>
      <c r="J581" s="18">
        <v>0</v>
      </c>
      <c r="K581" s="18">
        <v>30</v>
      </c>
      <c r="L581" s="18">
        <v>1</v>
      </c>
      <c r="M581" s="18">
        <f t="shared" si="79"/>
        <v>29</v>
      </c>
      <c r="N581" s="53">
        <f t="shared" si="80"/>
        <v>3.3333333333333333E-2</v>
      </c>
      <c r="O581" s="54" t="s">
        <v>496</v>
      </c>
    </row>
    <row r="582" spans="1:15" ht="30" customHeight="1" x14ac:dyDescent="0.5">
      <c r="A582" t="s">
        <v>839</v>
      </c>
      <c r="B582" s="18">
        <v>9</v>
      </c>
      <c r="C582" s="10" t="s">
        <v>1043</v>
      </c>
      <c r="D582" s="11" t="s">
        <v>1048</v>
      </c>
      <c r="E582" s="18">
        <v>30</v>
      </c>
      <c r="F582" s="18">
        <v>0</v>
      </c>
      <c r="G582" s="18">
        <v>0</v>
      </c>
      <c r="H582" s="18">
        <v>0</v>
      </c>
      <c r="I582" s="18">
        <v>0</v>
      </c>
      <c r="J582" s="18">
        <v>0</v>
      </c>
      <c r="K582" s="18">
        <f>E582-F582-G582-H582-I582-J582</f>
        <v>30</v>
      </c>
      <c r="L582" s="18">
        <v>2</v>
      </c>
      <c r="M582" s="18">
        <f t="shared" si="79"/>
        <v>28</v>
      </c>
      <c r="N582" s="53">
        <f t="shared" si="80"/>
        <v>6.6666666666666666E-2</v>
      </c>
      <c r="O582" s="54" t="s">
        <v>496</v>
      </c>
    </row>
    <row r="583" spans="1:15" ht="30" customHeight="1" x14ac:dyDescent="0.5">
      <c r="A583" t="s">
        <v>839</v>
      </c>
      <c r="B583" s="18">
        <v>10</v>
      </c>
      <c r="C583" s="10" t="s">
        <v>1162</v>
      </c>
      <c r="D583" s="11" t="s">
        <v>1163</v>
      </c>
      <c r="E583" s="18">
        <v>30</v>
      </c>
      <c r="F583" s="18">
        <v>0</v>
      </c>
      <c r="G583" s="18">
        <v>0</v>
      </c>
      <c r="H583" s="18">
        <v>0</v>
      </c>
      <c r="I583" s="18">
        <v>0</v>
      </c>
      <c r="J583" s="18">
        <v>0</v>
      </c>
      <c r="K583" s="18">
        <v>30</v>
      </c>
      <c r="L583" s="18">
        <v>4</v>
      </c>
      <c r="M583" s="18">
        <f t="shared" si="79"/>
        <v>26</v>
      </c>
      <c r="N583" s="53">
        <f t="shared" si="80"/>
        <v>0.13333333333333333</v>
      </c>
      <c r="O583" s="54" t="s">
        <v>496</v>
      </c>
    </row>
    <row r="584" spans="1:15" ht="27" customHeight="1" x14ac:dyDescent="0.5">
      <c r="A584" t="s">
        <v>839</v>
      </c>
      <c r="B584" s="18">
        <v>11</v>
      </c>
      <c r="C584" s="10" t="s">
        <v>1103</v>
      </c>
      <c r="D584" s="11" t="s">
        <v>1104</v>
      </c>
      <c r="E584" s="18">
        <v>40</v>
      </c>
      <c r="F584" s="18">
        <v>0</v>
      </c>
      <c r="G584" s="18">
        <v>0</v>
      </c>
      <c r="H584" s="18">
        <v>0</v>
      </c>
      <c r="I584" s="18">
        <v>0</v>
      </c>
      <c r="J584" s="18">
        <v>0</v>
      </c>
      <c r="K584" s="18">
        <v>40</v>
      </c>
      <c r="L584" s="18">
        <v>12</v>
      </c>
      <c r="M584" s="18">
        <f t="shared" si="79"/>
        <v>28</v>
      </c>
      <c r="N584" s="32">
        <f t="shared" si="80"/>
        <v>0.3</v>
      </c>
      <c r="O584" s="21" t="s">
        <v>497</v>
      </c>
    </row>
    <row r="585" spans="1:15" ht="30" customHeight="1" x14ac:dyDescent="0.5">
      <c r="A585" t="s">
        <v>839</v>
      </c>
      <c r="B585" s="18">
        <v>12</v>
      </c>
      <c r="C585" s="10" t="s">
        <v>1099</v>
      </c>
      <c r="D585" s="11" t="s">
        <v>1100</v>
      </c>
      <c r="E585" s="18">
        <v>50</v>
      </c>
      <c r="F585" s="18">
        <v>0</v>
      </c>
      <c r="G585" s="18">
        <v>0</v>
      </c>
      <c r="H585" s="18">
        <v>0</v>
      </c>
      <c r="I585" s="18">
        <v>0</v>
      </c>
      <c r="J585" s="18">
        <v>0</v>
      </c>
      <c r="K585" s="18">
        <v>50</v>
      </c>
      <c r="L585" s="18">
        <v>15</v>
      </c>
      <c r="M585" s="18">
        <f t="shared" si="79"/>
        <v>35</v>
      </c>
      <c r="N585" s="32">
        <f t="shared" si="80"/>
        <v>0.3</v>
      </c>
      <c r="O585" s="21" t="s">
        <v>497</v>
      </c>
    </row>
    <row r="586" spans="1:15" ht="30" customHeight="1" x14ac:dyDescent="0.5">
      <c r="A586" t="s">
        <v>839</v>
      </c>
      <c r="B586" s="18">
        <v>13</v>
      </c>
      <c r="C586" s="10" t="s">
        <v>822</v>
      </c>
      <c r="D586" s="11" t="s">
        <v>259</v>
      </c>
      <c r="E586" s="18">
        <v>70</v>
      </c>
      <c r="F586" s="18">
        <v>0</v>
      </c>
      <c r="G586" s="18">
        <v>0</v>
      </c>
      <c r="H586" s="18">
        <v>0</v>
      </c>
      <c r="I586" s="18">
        <v>0</v>
      </c>
      <c r="J586" s="18">
        <v>0</v>
      </c>
      <c r="K586" s="18">
        <f>E586-F586-G586-H586-I586-J586</f>
        <v>70</v>
      </c>
      <c r="L586" s="18">
        <v>29</v>
      </c>
      <c r="M586" s="18">
        <f t="shared" si="79"/>
        <v>41</v>
      </c>
      <c r="N586" s="32">
        <f t="shared" si="80"/>
        <v>0.41428571428571431</v>
      </c>
      <c r="O586" s="21" t="s">
        <v>497</v>
      </c>
    </row>
    <row r="587" spans="1:15" ht="30" customHeight="1" x14ac:dyDescent="0.5">
      <c r="A587" t="s">
        <v>839</v>
      </c>
      <c r="B587" s="18">
        <v>14</v>
      </c>
      <c r="C587" s="10" t="s">
        <v>814</v>
      </c>
      <c r="D587" s="11" t="s">
        <v>831</v>
      </c>
      <c r="E587" s="18">
        <f>50+20</f>
        <v>70</v>
      </c>
      <c r="F587" s="18">
        <v>0</v>
      </c>
      <c r="G587" s="18">
        <v>0</v>
      </c>
      <c r="H587" s="18">
        <v>0</v>
      </c>
      <c r="I587" s="18">
        <v>0</v>
      </c>
      <c r="J587" s="18">
        <v>0</v>
      </c>
      <c r="K587" s="18">
        <f>E587-F587-G587-H587-I587-J587</f>
        <v>70</v>
      </c>
      <c r="L587" s="18">
        <v>31</v>
      </c>
      <c r="M587" s="18">
        <f t="shared" si="79"/>
        <v>39</v>
      </c>
      <c r="N587" s="32">
        <f t="shared" si="80"/>
        <v>0.44285714285714284</v>
      </c>
      <c r="O587" s="21" t="s">
        <v>497</v>
      </c>
    </row>
    <row r="588" spans="1:15" ht="30" customHeight="1" x14ac:dyDescent="0.5">
      <c r="A588" t="s">
        <v>839</v>
      </c>
      <c r="B588" s="18">
        <v>15</v>
      </c>
      <c r="C588" s="10" t="s">
        <v>1101</v>
      </c>
      <c r="D588" s="11" t="s">
        <v>1102</v>
      </c>
      <c r="E588" s="18">
        <v>40</v>
      </c>
      <c r="F588" s="18">
        <v>0</v>
      </c>
      <c r="G588" s="18">
        <v>0</v>
      </c>
      <c r="H588" s="18">
        <v>0</v>
      </c>
      <c r="I588" s="18">
        <v>0</v>
      </c>
      <c r="J588" s="18">
        <v>0</v>
      </c>
      <c r="K588" s="18">
        <v>40</v>
      </c>
      <c r="L588" s="18">
        <v>20</v>
      </c>
      <c r="M588" s="18">
        <f t="shared" si="79"/>
        <v>20</v>
      </c>
      <c r="N588" s="32">
        <f t="shared" si="80"/>
        <v>0.5</v>
      </c>
      <c r="O588" s="21" t="s">
        <v>497</v>
      </c>
    </row>
    <row r="589" spans="1:15" ht="30" customHeight="1" x14ac:dyDescent="0.5">
      <c r="A589" t="s">
        <v>839</v>
      </c>
      <c r="B589" s="18">
        <v>16</v>
      </c>
      <c r="C589" s="10" t="s">
        <v>1045</v>
      </c>
      <c r="D589" s="11" t="s">
        <v>1050</v>
      </c>
      <c r="E589" s="18">
        <v>30</v>
      </c>
      <c r="F589" s="18">
        <v>0</v>
      </c>
      <c r="G589" s="18">
        <v>0</v>
      </c>
      <c r="H589" s="18">
        <v>0</v>
      </c>
      <c r="I589" s="18">
        <v>0</v>
      </c>
      <c r="J589" s="18">
        <v>0</v>
      </c>
      <c r="K589" s="18">
        <f>E589-F589-G589-H589-I589-J589</f>
        <v>30</v>
      </c>
      <c r="L589" s="18">
        <v>16</v>
      </c>
      <c r="M589" s="18">
        <f t="shared" si="79"/>
        <v>14</v>
      </c>
      <c r="N589" s="33">
        <f t="shared" si="80"/>
        <v>0.53333333333333333</v>
      </c>
      <c r="O589" s="34" t="s">
        <v>498</v>
      </c>
    </row>
    <row r="590" spans="1:15" ht="30" customHeight="1" x14ac:dyDescent="0.5">
      <c r="A590" t="s">
        <v>839</v>
      </c>
      <c r="B590" s="18">
        <v>17</v>
      </c>
      <c r="C590" s="10" t="s">
        <v>1044</v>
      </c>
      <c r="D590" s="11" t="s">
        <v>1049</v>
      </c>
      <c r="E590" s="18">
        <f>30+10</f>
        <v>40</v>
      </c>
      <c r="F590" s="18">
        <v>0</v>
      </c>
      <c r="G590" s="18">
        <v>0</v>
      </c>
      <c r="H590" s="18">
        <v>0</v>
      </c>
      <c r="I590" s="18">
        <v>0</v>
      </c>
      <c r="J590" s="18">
        <v>0</v>
      </c>
      <c r="K590" s="18">
        <f>E590-F590-G590-H590-I590-J590</f>
        <v>40</v>
      </c>
      <c r="L590" s="18">
        <v>28</v>
      </c>
      <c r="M590" s="18">
        <f t="shared" si="79"/>
        <v>12</v>
      </c>
      <c r="N590" s="33">
        <f t="shared" si="80"/>
        <v>0.7</v>
      </c>
      <c r="O590" s="34" t="s">
        <v>498</v>
      </c>
    </row>
    <row r="591" spans="1:15" ht="30" customHeight="1" x14ac:dyDescent="0.5">
      <c r="A591" t="s">
        <v>839</v>
      </c>
      <c r="B591" s="18">
        <v>18</v>
      </c>
      <c r="C591" s="10" t="s">
        <v>811</v>
      </c>
      <c r="D591" s="11" t="s">
        <v>829</v>
      </c>
      <c r="E591" s="18">
        <f>60+20</f>
        <v>80</v>
      </c>
      <c r="F591" s="18">
        <v>0</v>
      </c>
      <c r="G591" s="18">
        <v>0</v>
      </c>
      <c r="H591" s="18">
        <v>10</v>
      </c>
      <c r="I591" s="18">
        <v>0</v>
      </c>
      <c r="J591" s="18">
        <v>0</v>
      </c>
      <c r="K591" s="18">
        <f>E591-F591-G591-H591-I591-J591</f>
        <v>70</v>
      </c>
      <c r="L591" s="18">
        <v>52</v>
      </c>
      <c r="M591" s="18">
        <f t="shared" si="79"/>
        <v>18</v>
      </c>
      <c r="N591" s="33">
        <f t="shared" si="80"/>
        <v>0.74285714285714288</v>
      </c>
      <c r="O591" s="34" t="s">
        <v>498</v>
      </c>
    </row>
    <row r="592" spans="1:15" ht="30" customHeight="1" x14ac:dyDescent="0.5">
      <c r="A592" t="s">
        <v>839</v>
      </c>
      <c r="B592" s="18">
        <v>19</v>
      </c>
      <c r="C592" s="10" t="s">
        <v>920</v>
      </c>
      <c r="D592" s="11" t="s">
        <v>921</v>
      </c>
      <c r="E592" s="18">
        <v>40</v>
      </c>
      <c r="F592" s="18">
        <v>0</v>
      </c>
      <c r="G592" s="18">
        <v>0</v>
      </c>
      <c r="H592" s="18">
        <v>0</v>
      </c>
      <c r="I592" s="18">
        <v>0</v>
      </c>
      <c r="J592" s="18">
        <v>0</v>
      </c>
      <c r="K592" s="18">
        <v>40</v>
      </c>
      <c r="L592" s="18">
        <v>30</v>
      </c>
      <c r="M592" s="18">
        <v>10</v>
      </c>
      <c r="N592" s="33">
        <f t="shared" si="80"/>
        <v>0.75</v>
      </c>
      <c r="O592" s="34" t="s">
        <v>498</v>
      </c>
    </row>
    <row r="593" spans="1:15" ht="30" customHeight="1" x14ac:dyDescent="0.5">
      <c r="A593" t="s">
        <v>839</v>
      </c>
      <c r="B593" s="18">
        <v>20</v>
      </c>
      <c r="C593" s="10" t="s">
        <v>813</v>
      </c>
      <c r="D593" s="11" t="s">
        <v>830</v>
      </c>
      <c r="E593" s="18">
        <f>60+20</f>
        <v>80</v>
      </c>
      <c r="F593" s="18">
        <v>0</v>
      </c>
      <c r="G593" s="18">
        <v>0</v>
      </c>
      <c r="H593" s="18">
        <v>10</v>
      </c>
      <c r="I593" s="18">
        <v>0</v>
      </c>
      <c r="J593" s="18">
        <v>0</v>
      </c>
      <c r="K593" s="18">
        <f t="shared" ref="K593:K610" si="81">E593-F593-G593-H593-I593-J593</f>
        <v>70</v>
      </c>
      <c r="L593" s="18">
        <v>54</v>
      </c>
      <c r="M593" s="18">
        <f t="shared" ref="M593:M610" si="82">K593-L593</f>
        <v>16</v>
      </c>
      <c r="N593" s="35">
        <f t="shared" si="80"/>
        <v>0.77142857142857146</v>
      </c>
      <c r="O593" s="36" t="s">
        <v>495</v>
      </c>
    </row>
    <row r="594" spans="1:15" ht="30" customHeight="1" x14ac:dyDescent="0.5">
      <c r="A594" t="s">
        <v>839</v>
      </c>
      <c r="B594" s="18">
        <v>21</v>
      </c>
      <c r="C594" s="10" t="s">
        <v>820</v>
      </c>
      <c r="D594" s="11" t="s">
        <v>835</v>
      </c>
      <c r="E594" s="18">
        <v>120</v>
      </c>
      <c r="F594" s="18">
        <v>0</v>
      </c>
      <c r="G594" s="18">
        <v>0</v>
      </c>
      <c r="H594" s="18">
        <v>0</v>
      </c>
      <c r="I594" s="18">
        <v>0</v>
      </c>
      <c r="J594" s="18">
        <v>0</v>
      </c>
      <c r="K594" s="18">
        <f t="shared" si="81"/>
        <v>120</v>
      </c>
      <c r="L594" s="18">
        <v>94</v>
      </c>
      <c r="M594" s="18">
        <f t="shared" si="82"/>
        <v>26</v>
      </c>
      <c r="N594" s="35">
        <f t="shared" si="80"/>
        <v>0.78333333333333333</v>
      </c>
      <c r="O594" s="36" t="s">
        <v>495</v>
      </c>
    </row>
    <row r="595" spans="1:15" ht="30" customHeight="1" x14ac:dyDescent="0.5">
      <c r="A595" t="s">
        <v>839</v>
      </c>
      <c r="B595" s="18">
        <v>22</v>
      </c>
      <c r="C595" s="10" t="s">
        <v>816</v>
      </c>
      <c r="D595" s="11" t="s">
        <v>267</v>
      </c>
      <c r="E595" s="18">
        <v>150</v>
      </c>
      <c r="F595" s="18">
        <v>0</v>
      </c>
      <c r="G595" s="18">
        <v>0</v>
      </c>
      <c r="H595" s="18">
        <v>0</v>
      </c>
      <c r="I595" s="18">
        <v>0</v>
      </c>
      <c r="J595" s="18">
        <v>0</v>
      </c>
      <c r="K595" s="18">
        <f t="shared" si="81"/>
        <v>150</v>
      </c>
      <c r="L595" s="18">
        <v>134</v>
      </c>
      <c r="M595" s="18">
        <f t="shared" si="82"/>
        <v>16</v>
      </c>
      <c r="N595" s="35">
        <f t="shared" si="80"/>
        <v>0.89333333333333331</v>
      </c>
      <c r="O595" s="36" t="s">
        <v>495</v>
      </c>
    </row>
    <row r="596" spans="1:15" ht="30" customHeight="1" x14ac:dyDescent="0.5">
      <c r="A596" t="s">
        <v>839</v>
      </c>
      <c r="B596" s="18">
        <v>23</v>
      </c>
      <c r="C596" s="10" t="s">
        <v>827</v>
      </c>
      <c r="D596" s="11" t="s">
        <v>272</v>
      </c>
      <c r="E596" s="18">
        <f>170+10</f>
        <v>180</v>
      </c>
      <c r="F596" s="18">
        <v>0</v>
      </c>
      <c r="G596" s="18">
        <v>0</v>
      </c>
      <c r="H596" s="18">
        <v>0</v>
      </c>
      <c r="I596" s="18">
        <v>0</v>
      </c>
      <c r="J596" s="18">
        <v>0</v>
      </c>
      <c r="K596" s="18">
        <f t="shared" si="81"/>
        <v>180</v>
      </c>
      <c r="L596" s="18">
        <v>172</v>
      </c>
      <c r="M596" s="18">
        <f t="shared" si="82"/>
        <v>8</v>
      </c>
      <c r="N596" s="35">
        <f t="shared" si="80"/>
        <v>0.9555555555555556</v>
      </c>
      <c r="O596" s="36" t="s">
        <v>495</v>
      </c>
    </row>
    <row r="597" spans="1:15" ht="30" customHeight="1" x14ac:dyDescent="0.5">
      <c r="A597" t="s">
        <v>839</v>
      </c>
      <c r="B597" s="18">
        <v>24</v>
      </c>
      <c r="C597" s="10" t="s">
        <v>1047</v>
      </c>
      <c r="D597" s="11" t="s">
        <v>1051</v>
      </c>
      <c r="E597" s="18">
        <f>30+10</f>
        <v>40</v>
      </c>
      <c r="F597" s="18">
        <v>0</v>
      </c>
      <c r="G597" s="18">
        <v>0</v>
      </c>
      <c r="H597" s="18">
        <v>0</v>
      </c>
      <c r="I597" s="18">
        <v>0</v>
      </c>
      <c r="J597" s="18">
        <v>0</v>
      </c>
      <c r="K597" s="18">
        <f t="shared" si="81"/>
        <v>40</v>
      </c>
      <c r="L597" s="18">
        <v>39</v>
      </c>
      <c r="M597" s="18">
        <f t="shared" si="82"/>
        <v>1</v>
      </c>
      <c r="N597" s="35">
        <f t="shared" si="80"/>
        <v>0.97499999999999998</v>
      </c>
      <c r="O597" s="36" t="s">
        <v>495</v>
      </c>
    </row>
    <row r="598" spans="1:15" ht="30" customHeight="1" x14ac:dyDescent="0.5">
      <c r="A598" t="s">
        <v>839</v>
      </c>
      <c r="B598" s="18">
        <v>25</v>
      </c>
      <c r="C598" s="10" t="s">
        <v>818</v>
      </c>
      <c r="D598" s="11" t="s">
        <v>833</v>
      </c>
      <c r="E598" s="18">
        <f>80+10+70+80</f>
        <v>240</v>
      </c>
      <c r="F598" s="18">
        <v>0</v>
      </c>
      <c r="G598" s="18">
        <v>5</v>
      </c>
      <c r="H598" s="18">
        <v>0</v>
      </c>
      <c r="I598" s="18">
        <v>0</v>
      </c>
      <c r="J598" s="18">
        <v>0</v>
      </c>
      <c r="K598" s="18">
        <f t="shared" si="81"/>
        <v>235</v>
      </c>
      <c r="L598" s="18">
        <v>234</v>
      </c>
      <c r="M598" s="18">
        <f t="shared" si="82"/>
        <v>1</v>
      </c>
      <c r="N598" s="35">
        <f t="shared" si="80"/>
        <v>0.99574468085106382</v>
      </c>
      <c r="O598" s="36" t="s">
        <v>495</v>
      </c>
    </row>
    <row r="599" spans="1:15" ht="30" customHeight="1" x14ac:dyDescent="0.5">
      <c r="A599" t="s">
        <v>839</v>
      </c>
      <c r="B599" s="18">
        <v>26</v>
      </c>
      <c r="C599" s="10" t="s">
        <v>812</v>
      </c>
      <c r="D599" s="91" t="s">
        <v>1155</v>
      </c>
      <c r="E599" s="18">
        <f>223+30</f>
        <v>253</v>
      </c>
      <c r="F599" s="18">
        <v>0</v>
      </c>
      <c r="G599" s="18">
        <v>0</v>
      </c>
      <c r="H599" s="18">
        <v>0</v>
      </c>
      <c r="I599" s="18">
        <v>0</v>
      </c>
      <c r="J599" s="18">
        <v>0</v>
      </c>
      <c r="K599" s="18">
        <f t="shared" si="81"/>
        <v>253</v>
      </c>
      <c r="L599" s="18">
        <v>253</v>
      </c>
      <c r="M599" s="18">
        <f t="shared" si="82"/>
        <v>0</v>
      </c>
      <c r="N599" s="56">
        <f t="shared" si="80"/>
        <v>1</v>
      </c>
      <c r="O599" s="57" t="s">
        <v>499</v>
      </c>
    </row>
    <row r="600" spans="1:15" ht="30" customHeight="1" x14ac:dyDescent="0.5">
      <c r="A600" t="s">
        <v>839</v>
      </c>
      <c r="B600" s="18">
        <v>27</v>
      </c>
      <c r="C600" s="10" t="s">
        <v>821</v>
      </c>
      <c r="D600" s="11" t="s">
        <v>274</v>
      </c>
      <c r="E600" s="18">
        <f>140+50</f>
        <v>190</v>
      </c>
      <c r="F600" s="18">
        <v>0</v>
      </c>
      <c r="G600" s="18">
        <v>0</v>
      </c>
      <c r="H600" s="18">
        <v>0</v>
      </c>
      <c r="I600" s="18">
        <v>0</v>
      </c>
      <c r="J600" s="18">
        <v>0</v>
      </c>
      <c r="K600" s="18">
        <f t="shared" si="81"/>
        <v>190</v>
      </c>
      <c r="L600" s="18">
        <v>190</v>
      </c>
      <c r="M600" s="18">
        <f t="shared" si="82"/>
        <v>0</v>
      </c>
      <c r="N600" s="56">
        <f t="shared" si="80"/>
        <v>1</v>
      </c>
      <c r="O600" s="57" t="s">
        <v>499</v>
      </c>
    </row>
    <row r="601" spans="1:15" ht="30" customHeight="1" x14ac:dyDescent="0.5">
      <c r="A601" t="s">
        <v>839</v>
      </c>
      <c r="B601" s="18">
        <v>28</v>
      </c>
      <c r="C601" s="10" t="s">
        <v>825</v>
      </c>
      <c r="D601" s="11" t="s">
        <v>837</v>
      </c>
      <c r="E601" s="18">
        <f>60+30</f>
        <v>90</v>
      </c>
      <c r="F601" s="18">
        <v>0</v>
      </c>
      <c r="G601" s="18">
        <v>0</v>
      </c>
      <c r="H601" s="18">
        <v>0</v>
      </c>
      <c r="I601" s="18">
        <v>0</v>
      </c>
      <c r="J601" s="18">
        <v>0</v>
      </c>
      <c r="K601" s="18">
        <f t="shared" si="81"/>
        <v>90</v>
      </c>
      <c r="L601" s="18">
        <v>90</v>
      </c>
      <c r="M601" s="18">
        <f t="shared" si="82"/>
        <v>0</v>
      </c>
      <c r="N601" s="56">
        <f t="shared" si="80"/>
        <v>1</v>
      </c>
      <c r="O601" s="57" t="s">
        <v>499</v>
      </c>
    </row>
    <row r="602" spans="1:15" ht="30" customHeight="1" x14ac:dyDescent="0.5">
      <c r="A602" t="s">
        <v>839</v>
      </c>
      <c r="B602" s="18">
        <v>29</v>
      </c>
      <c r="C602" s="10" t="s">
        <v>826</v>
      </c>
      <c r="D602" s="11" t="s">
        <v>838</v>
      </c>
      <c r="E602" s="18">
        <v>87</v>
      </c>
      <c r="F602" s="18">
        <v>0</v>
      </c>
      <c r="G602" s="18">
        <v>0</v>
      </c>
      <c r="H602" s="18">
        <v>0</v>
      </c>
      <c r="I602" s="18">
        <v>0</v>
      </c>
      <c r="J602" s="18">
        <v>0</v>
      </c>
      <c r="K602" s="18">
        <f t="shared" si="81"/>
        <v>87</v>
      </c>
      <c r="L602" s="18">
        <v>87</v>
      </c>
      <c r="M602" s="18">
        <f t="shared" si="82"/>
        <v>0</v>
      </c>
      <c r="N602" s="56">
        <f t="shared" si="80"/>
        <v>1</v>
      </c>
      <c r="O602" s="57" t="s">
        <v>499</v>
      </c>
    </row>
    <row r="603" spans="1:15" ht="30" customHeight="1" x14ac:dyDescent="0.5">
      <c r="A603" t="s">
        <v>839</v>
      </c>
      <c r="B603" s="18">
        <v>30</v>
      </c>
      <c r="C603" s="10" t="s">
        <v>1046</v>
      </c>
      <c r="D603" s="11" t="s">
        <v>269</v>
      </c>
      <c r="E603" s="18">
        <f>30+10</f>
        <v>40</v>
      </c>
      <c r="F603" s="18">
        <v>0</v>
      </c>
      <c r="G603" s="18">
        <v>0</v>
      </c>
      <c r="H603" s="18">
        <v>0</v>
      </c>
      <c r="I603" s="18">
        <v>0</v>
      </c>
      <c r="J603" s="18">
        <v>0</v>
      </c>
      <c r="K603" s="18">
        <f t="shared" si="81"/>
        <v>40</v>
      </c>
      <c r="L603" s="18">
        <v>40</v>
      </c>
      <c r="M603" s="18">
        <f t="shared" si="82"/>
        <v>0</v>
      </c>
      <c r="N603" s="56">
        <f t="shared" si="80"/>
        <v>1</v>
      </c>
      <c r="O603" s="57" t="s">
        <v>499</v>
      </c>
    </row>
    <row r="604" spans="1:15" ht="30" customHeight="1" x14ac:dyDescent="0.5">
      <c r="A604" t="s">
        <v>839</v>
      </c>
      <c r="B604" s="18">
        <v>31</v>
      </c>
      <c r="C604" s="10" t="s">
        <v>823</v>
      </c>
      <c r="D604" s="92" t="s">
        <v>836</v>
      </c>
      <c r="E604" s="18">
        <f>60+20</f>
        <v>80</v>
      </c>
      <c r="F604" s="18">
        <v>0</v>
      </c>
      <c r="G604" s="18">
        <v>0</v>
      </c>
      <c r="H604" s="18">
        <v>10</v>
      </c>
      <c r="I604" s="18">
        <v>0</v>
      </c>
      <c r="J604" s="18">
        <v>0</v>
      </c>
      <c r="K604" s="18">
        <f t="shared" si="81"/>
        <v>70</v>
      </c>
      <c r="L604" s="18">
        <v>70</v>
      </c>
      <c r="M604" s="18">
        <f t="shared" si="82"/>
        <v>0</v>
      </c>
      <c r="N604" s="56">
        <f t="shared" si="80"/>
        <v>1</v>
      </c>
      <c r="O604" s="57" t="s">
        <v>499</v>
      </c>
    </row>
    <row r="605" spans="1:15" ht="30" customHeight="1" x14ac:dyDescent="0.5">
      <c r="A605" t="s">
        <v>839</v>
      </c>
      <c r="B605" s="18">
        <v>32</v>
      </c>
      <c r="C605" s="10" t="s">
        <v>824</v>
      </c>
      <c r="D605" s="11" t="s">
        <v>276</v>
      </c>
      <c r="E605" s="18">
        <f>10+20+50+10</f>
        <v>90</v>
      </c>
      <c r="F605" s="18">
        <v>0</v>
      </c>
      <c r="G605" s="18">
        <v>0</v>
      </c>
      <c r="H605" s="18">
        <v>0</v>
      </c>
      <c r="I605" s="18">
        <v>0</v>
      </c>
      <c r="J605" s="18">
        <v>0</v>
      </c>
      <c r="K605" s="18">
        <f t="shared" si="81"/>
        <v>90</v>
      </c>
      <c r="L605" s="18">
        <v>90</v>
      </c>
      <c r="M605" s="18">
        <f t="shared" si="82"/>
        <v>0</v>
      </c>
      <c r="N605" s="56">
        <f t="shared" si="80"/>
        <v>1</v>
      </c>
      <c r="O605" s="57" t="s">
        <v>499</v>
      </c>
    </row>
    <row r="606" spans="1:15" ht="30" customHeight="1" x14ac:dyDescent="0.5">
      <c r="A606" t="s">
        <v>839</v>
      </c>
      <c r="B606" s="18">
        <v>33</v>
      </c>
      <c r="C606" s="10" t="s">
        <v>810</v>
      </c>
      <c r="D606" s="11" t="s">
        <v>828</v>
      </c>
      <c r="E606" s="18">
        <f>10+5+5+40</f>
        <v>60</v>
      </c>
      <c r="F606" s="18">
        <v>0</v>
      </c>
      <c r="G606" s="18">
        <v>0</v>
      </c>
      <c r="H606" s="18">
        <v>0</v>
      </c>
      <c r="I606" s="18">
        <v>0</v>
      </c>
      <c r="J606" s="18">
        <v>0</v>
      </c>
      <c r="K606" s="18">
        <f t="shared" si="81"/>
        <v>60</v>
      </c>
      <c r="L606" s="18">
        <v>60</v>
      </c>
      <c r="M606" s="18">
        <f t="shared" si="82"/>
        <v>0</v>
      </c>
      <c r="N606" s="56">
        <f t="shared" si="80"/>
        <v>1</v>
      </c>
      <c r="O606" s="57" t="s">
        <v>499</v>
      </c>
    </row>
    <row r="607" spans="1:15" ht="30" customHeight="1" x14ac:dyDescent="0.5">
      <c r="A607" t="s">
        <v>839</v>
      </c>
      <c r="B607" s="18">
        <v>34</v>
      </c>
      <c r="C607" s="10" t="s">
        <v>1052</v>
      </c>
      <c r="D607" s="11" t="s">
        <v>1053</v>
      </c>
      <c r="E607" s="18">
        <f>30+10</f>
        <v>40</v>
      </c>
      <c r="F607" s="18">
        <v>0</v>
      </c>
      <c r="G607" s="18">
        <v>0</v>
      </c>
      <c r="H607" s="18">
        <v>0</v>
      </c>
      <c r="I607" s="18">
        <v>0</v>
      </c>
      <c r="J607" s="18">
        <v>0</v>
      </c>
      <c r="K607" s="18">
        <f t="shared" si="81"/>
        <v>40</v>
      </c>
      <c r="L607" s="18">
        <v>40</v>
      </c>
      <c r="M607" s="18">
        <f t="shared" si="82"/>
        <v>0</v>
      </c>
      <c r="N607" s="56">
        <f t="shared" si="80"/>
        <v>1</v>
      </c>
      <c r="O607" s="57" t="s">
        <v>499</v>
      </c>
    </row>
    <row r="608" spans="1:15" ht="30" customHeight="1" x14ac:dyDescent="0.5">
      <c r="A608" t="s">
        <v>839</v>
      </c>
      <c r="B608" s="18">
        <v>35</v>
      </c>
      <c r="C608" s="10" t="s">
        <v>815</v>
      </c>
      <c r="D608" s="11" t="s">
        <v>635</v>
      </c>
      <c r="E608" s="18">
        <v>90</v>
      </c>
      <c r="F608" s="18">
        <v>0</v>
      </c>
      <c r="G608" s="18">
        <v>0</v>
      </c>
      <c r="H608" s="18">
        <v>0</v>
      </c>
      <c r="I608" s="18">
        <v>0</v>
      </c>
      <c r="J608" s="18">
        <v>0</v>
      </c>
      <c r="K608" s="18">
        <f t="shared" si="81"/>
        <v>90</v>
      </c>
      <c r="L608" s="18">
        <v>90</v>
      </c>
      <c r="M608" s="18">
        <f t="shared" si="82"/>
        <v>0</v>
      </c>
      <c r="N608" s="56">
        <f t="shared" si="80"/>
        <v>1</v>
      </c>
      <c r="O608" s="57" t="s">
        <v>499</v>
      </c>
    </row>
    <row r="609" spans="1:15" ht="30" customHeight="1" x14ac:dyDescent="0.5">
      <c r="A609" t="s">
        <v>839</v>
      </c>
      <c r="B609" s="18">
        <v>36</v>
      </c>
      <c r="C609" s="10" t="s">
        <v>819</v>
      </c>
      <c r="D609" s="93" t="s">
        <v>834</v>
      </c>
      <c r="E609" s="18">
        <v>80</v>
      </c>
      <c r="F609" s="18">
        <v>0</v>
      </c>
      <c r="G609" s="18">
        <v>0</v>
      </c>
      <c r="H609" s="18">
        <v>0</v>
      </c>
      <c r="I609" s="18">
        <v>0</v>
      </c>
      <c r="J609" s="18">
        <v>0</v>
      </c>
      <c r="K609" s="18">
        <f t="shared" si="81"/>
        <v>80</v>
      </c>
      <c r="L609" s="18">
        <v>80</v>
      </c>
      <c r="M609" s="18">
        <f t="shared" si="82"/>
        <v>0</v>
      </c>
      <c r="N609" s="56">
        <f t="shared" si="80"/>
        <v>1</v>
      </c>
      <c r="O609" s="57" t="s">
        <v>499</v>
      </c>
    </row>
    <row r="610" spans="1:15" ht="30" customHeight="1" x14ac:dyDescent="0.5">
      <c r="A610" t="s">
        <v>839</v>
      </c>
      <c r="B610" s="18">
        <v>37</v>
      </c>
      <c r="C610" s="10" t="s">
        <v>817</v>
      </c>
      <c r="D610" s="11" t="s">
        <v>832</v>
      </c>
      <c r="E610" s="18">
        <f>80+20</f>
        <v>100</v>
      </c>
      <c r="F610" s="18">
        <v>0</v>
      </c>
      <c r="G610" s="18">
        <v>0</v>
      </c>
      <c r="H610" s="18">
        <v>0</v>
      </c>
      <c r="I610" s="18">
        <v>0</v>
      </c>
      <c r="J610" s="18">
        <v>0</v>
      </c>
      <c r="K610" s="18">
        <f t="shared" si="81"/>
        <v>100</v>
      </c>
      <c r="L610" s="18">
        <v>100</v>
      </c>
      <c r="M610" s="18">
        <f t="shared" si="82"/>
        <v>0</v>
      </c>
      <c r="N610" s="56">
        <f t="shared" si="80"/>
        <v>1</v>
      </c>
      <c r="O610" s="57" t="s">
        <v>499</v>
      </c>
    </row>
    <row r="611" spans="1:15" s="5" customFormat="1" ht="29.25" customHeight="1" x14ac:dyDescent="0.3">
      <c r="A611" s="5" t="s">
        <v>630</v>
      </c>
      <c r="B611" s="30">
        <v>1</v>
      </c>
      <c r="C611" s="17" t="s">
        <v>1124</v>
      </c>
      <c r="D611" s="17" t="s">
        <v>631</v>
      </c>
      <c r="E611" s="43">
        <f>50+250</f>
        <v>300</v>
      </c>
      <c r="F611" s="43">
        <f>0+40</f>
        <v>40</v>
      </c>
      <c r="G611" s="43">
        <v>0</v>
      </c>
      <c r="H611" s="43">
        <v>100</v>
      </c>
      <c r="I611" s="43">
        <v>3</v>
      </c>
      <c r="J611" s="43">
        <v>0</v>
      </c>
      <c r="K611" s="43">
        <f t="shared" ref="K611:K617" si="83">E611-F611-G611-H611-I611-J611</f>
        <v>157</v>
      </c>
      <c r="L611" s="43">
        <v>46</v>
      </c>
      <c r="M611" s="43">
        <f t="shared" ref="M611:M617" si="84">K611-L611</f>
        <v>111</v>
      </c>
      <c r="N611" s="55">
        <f t="shared" ref="N611:N617" si="85">L611/K611</f>
        <v>0.2929936305732484</v>
      </c>
      <c r="O611" s="67" t="s">
        <v>497</v>
      </c>
    </row>
    <row r="612" spans="1:15" s="5" customFormat="1" ht="30.75" customHeight="1" x14ac:dyDescent="0.3">
      <c r="A612" s="5" t="s">
        <v>630</v>
      </c>
      <c r="B612" s="30">
        <v>2</v>
      </c>
      <c r="C612" s="17" t="s">
        <v>1123</v>
      </c>
      <c r="D612" s="17" t="s">
        <v>632</v>
      </c>
      <c r="E612" s="43">
        <f>50+250</f>
        <v>300</v>
      </c>
      <c r="F612" s="43">
        <f>0+40</f>
        <v>40</v>
      </c>
      <c r="G612" s="43">
        <v>0</v>
      </c>
      <c r="H612" s="43">
        <v>50</v>
      </c>
      <c r="I612" s="43">
        <v>3</v>
      </c>
      <c r="J612" s="43">
        <v>0</v>
      </c>
      <c r="K612" s="43">
        <f t="shared" si="83"/>
        <v>207</v>
      </c>
      <c r="L612" s="43">
        <v>83</v>
      </c>
      <c r="M612" s="43">
        <f t="shared" si="84"/>
        <v>124</v>
      </c>
      <c r="N612" s="55">
        <f t="shared" si="85"/>
        <v>0.40096618357487923</v>
      </c>
      <c r="O612" s="67" t="s">
        <v>497</v>
      </c>
    </row>
    <row r="613" spans="1:15" s="5" customFormat="1" ht="29.25" customHeight="1" x14ac:dyDescent="0.3">
      <c r="A613" s="5" t="s">
        <v>630</v>
      </c>
      <c r="B613" s="30">
        <v>3</v>
      </c>
      <c r="C613" s="17" t="s">
        <v>1122</v>
      </c>
      <c r="D613" s="17" t="s">
        <v>636</v>
      </c>
      <c r="E613" s="43">
        <f>50+250</f>
        <v>300</v>
      </c>
      <c r="F613" s="43">
        <v>40</v>
      </c>
      <c r="G613" s="43">
        <v>0</v>
      </c>
      <c r="H613" s="43">
        <v>50</v>
      </c>
      <c r="I613" s="43">
        <v>3</v>
      </c>
      <c r="J613" s="43">
        <v>0</v>
      </c>
      <c r="K613" s="43">
        <f t="shared" si="83"/>
        <v>207</v>
      </c>
      <c r="L613" s="43">
        <v>96</v>
      </c>
      <c r="M613" s="43">
        <f t="shared" si="84"/>
        <v>111</v>
      </c>
      <c r="N613" s="55">
        <f t="shared" si="85"/>
        <v>0.46376811594202899</v>
      </c>
      <c r="O613" s="67" t="s">
        <v>497</v>
      </c>
    </row>
    <row r="614" spans="1:15" s="5" customFormat="1" ht="29.25" customHeight="1" x14ac:dyDescent="0.3">
      <c r="A614" s="5" t="s">
        <v>630</v>
      </c>
      <c r="B614" s="30">
        <v>4</v>
      </c>
      <c r="C614" s="17" t="s">
        <v>1121</v>
      </c>
      <c r="D614" s="17" t="s">
        <v>634</v>
      </c>
      <c r="E614" s="43">
        <f>250+50</f>
        <v>300</v>
      </c>
      <c r="F614" s="43">
        <f>0+40</f>
        <v>40</v>
      </c>
      <c r="G614" s="43">
        <v>30</v>
      </c>
      <c r="H614" s="43">
        <v>50</v>
      </c>
      <c r="I614" s="43">
        <v>3</v>
      </c>
      <c r="J614" s="43">
        <v>0</v>
      </c>
      <c r="K614" s="43">
        <f t="shared" si="83"/>
        <v>177</v>
      </c>
      <c r="L614" s="43">
        <v>91</v>
      </c>
      <c r="M614" s="43">
        <f t="shared" si="84"/>
        <v>86</v>
      </c>
      <c r="N614" s="46">
        <f t="shared" si="85"/>
        <v>0.51412429378531077</v>
      </c>
      <c r="O614" s="70" t="s">
        <v>498</v>
      </c>
    </row>
    <row r="615" spans="1:15" s="5" customFormat="1" ht="29.25" customHeight="1" x14ac:dyDescent="0.3">
      <c r="A615" s="5" t="s">
        <v>630</v>
      </c>
      <c r="B615" s="30">
        <v>5</v>
      </c>
      <c r="C615" s="17" t="s">
        <v>713</v>
      </c>
      <c r="D615" s="17" t="s">
        <v>722</v>
      </c>
      <c r="E615" s="43">
        <f>250+50+50</f>
        <v>350</v>
      </c>
      <c r="F615" s="43">
        <f>0+40</f>
        <v>40</v>
      </c>
      <c r="G615" s="43">
        <v>20</v>
      </c>
      <c r="H615" s="43">
        <v>120</v>
      </c>
      <c r="I615" s="43">
        <v>0</v>
      </c>
      <c r="J615" s="43">
        <v>0</v>
      </c>
      <c r="K615" s="43">
        <f t="shared" si="83"/>
        <v>170</v>
      </c>
      <c r="L615" s="43">
        <v>110</v>
      </c>
      <c r="M615" s="43">
        <f t="shared" si="84"/>
        <v>60</v>
      </c>
      <c r="N615" s="46">
        <f t="shared" si="85"/>
        <v>0.6470588235294118</v>
      </c>
      <c r="O615" s="70" t="s">
        <v>498</v>
      </c>
    </row>
    <row r="616" spans="1:15" s="5" customFormat="1" ht="29.25" customHeight="1" x14ac:dyDescent="0.3">
      <c r="A616" s="5" t="s">
        <v>630</v>
      </c>
      <c r="B616" s="30">
        <v>6</v>
      </c>
      <c r="C616" s="17" t="s">
        <v>1120</v>
      </c>
      <c r="D616" s="17" t="s">
        <v>635</v>
      </c>
      <c r="E616" s="43">
        <f>50+250</f>
        <v>300</v>
      </c>
      <c r="F616" s="43">
        <f>0+40+50</f>
        <v>90</v>
      </c>
      <c r="G616" s="43">
        <v>50</v>
      </c>
      <c r="H616" s="43">
        <v>25</v>
      </c>
      <c r="I616" s="43">
        <v>3</v>
      </c>
      <c r="J616" s="43">
        <v>0</v>
      </c>
      <c r="K616" s="43">
        <f t="shared" si="83"/>
        <v>132</v>
      </c>
      <c r="L616" s="43">
        <v>123</v>
      </c>
      <c r="M616" s="43">
        <f t="shared" si="84"/>
        <v>9</v>
      </c>
      <c r="N616" s="52">
        <f t="shared" si="85"/>
        <v>0.93181818181818177</v>
      </c>
      <c r="O616" s="74" t="s">
        <v>495</v>
      </c>
    </row>
    <row r="617" spans="1:15" s="5" customFormat="1" ht="29.25" customHeight="1" x14ac:dyDescent="0.3">
      <c r="A617" s="5" t="s">
        <v>630</v>
      </c>
      <c r="B617" s="30">
        <v>7</v>
      </c>
      <c r="C617" s="17" t="s">
        <v>731</v>
      </c>
      <c r="D617" s="17" t="s">
        <v>633</v>
      </c>
      <c r="E617" s="43">
        <f>50+250</f>
        <v>300</v>
      </c>
      <c r="F617" s="43">
        <f>0+40</f>
        <v>40</v>
      </c>
      <c r="G617" s="43">
        <v>0</v>
      </c>
      <c r="H617" s="43">
        <v>50</v>
      </c>
      <c r="I617" s="43">
        <v>3</v>
      </c>
      <c r="J617" s="43">
        <v>0</v>
      </c>
      <c r="K617" s="43">
        <f t="shared" si="83"/>
        <v>207</v>
      </c>
      <c r="L617" s="43">
        <v>204</v>
      </c>
      <c r="M617" s="43">
        <f t="shared" si="84"/>
        <v>3</v>
      </c>
      <c r="N617" s="52">
        <f t="shared" si="85"/>
        <v>0.98550724637681164</v>
      </c>
      <c r="O617" s="74" t="s">
        <v>495</v>
      </c>
    </row>
    <row r="618" spans="1:15" s="5" customFormat="1" ht="29.25" customHeight="1" x14ac:dyDescent="0.3">
      <c r="A618" s="5" t="s">
        <v>1029</v>
      </c>
      <c r="B618" s="30">
        <v>1</v>
      </c>
      <c r="C618" s="17" t="s">
        <v>1095</v>
      </c>
      <c r="D618" s="17" t="s">
        <v>1096</v>
      </c>
      <c r="E618" s="43">
        <v>30</v>
      </c>
      <c r="F618" s="43">
        <v>0</v>
      </c>
      <c r="G618" s="43">
        <v>0</v>
      </c>
      <c r="H618" s="43">
        <v>0</v>
      </c>
      <c r="I618" s="43">
        <v>0</v>
      </c>
      <c r="J618" s="43">
        <v>0</v>
      </c>
      <c r="K618" s="43">
        <v>30</v>
      </c>
      <c r="L618" s="43">
        <v>12</v>
      </c>
      <c r="M618" s="43">
        <f t="shared" ref="M618:M628" si="86">K618-L618</f>
        <v>18</v>
      </c>
      <c r="N618" s="55">
        <f t="shared" ref="N618:N628" si="87">L618/K618</f>
        <v>0.4</v>
      </c>
      <c r="O618" s="67" t="s">
        <v>497</v>
      </c>
    </row>
    <row r="619" spans="1:15" s="5" customFormat="1" ht="30.75" customHeight="1" x14ac:dyDescent="0.3">
      <c r="A619" s="5" t="s">
        <v>1029</v>
      </c>
      <c r="B619" s="30">
        <v>2</v>
      </c>
      <c r="C619" s="17" t="s">
        <v>1093</v>
      </c>
      <c r="D619" s="17" t="s">
        <v>1094</v>
      </c>
      <c r="E619" s="43">
        <v>50</v>
      </c>
      <c r="F619" s="43">
        <v>0</v>
      </c>
      <c r="G619" s="43">
        <v>0</v>
      </c>
      <c r="H619" s="43">
        <v>0</v>
      </c>
      <c r="I619" s="43">
        <v>0</v>
      </c>
      <c r="J619" s="43">
        <v>0</v>
      </c>
      <c r="K619" s="43">
        <f>E619-F619-G619-H619-I619-J619</f>
        <v>50</v>
      </c>
      <c r="L619" s="43">
        <v>34</v>
      </c>
      <c r="M619" s="43">
        <f t="shared" si="86"/>
        <v>16</v>
      </c>
      <c r="N619" s="46">
        <f t="shared" si="87"/>
        <v>0.68</v>
      </c>
      <c r="O619" s="70" t="s">
        <v>498</v>
      </c>
    </row>
    <row r="620" spans="1:15" s="5" customFormat="1" ht="29.25" customHeight="1" x14ac:dyDescent="0.3">
      <c r="A620" s="5" t="s">
        <v>1029</v>
      </c>
      <c r="B620" s="30">
        <v>3</v>
      </c>
      <c r="C620" s="17" t="s">
        <v>1020</v>
      </c>
      <c r="D620" s="17" t="s">
        <v>1030</v>
      </c>
      <c r="E620" s="43">
        <v>40</v>
      </c>
      <c r="F620" s="43">
        <v>0</v>
      </c>
      <c r="G620" s="43">
        <v>0</v>
      </c>
      <c r="H620" s="43">
        <v>0</v>
      </c>
      <c r="I620" s="43">
        <v>0</v>
      </c>
      <c r="J620" s="43">
        <v>0</v>
      </c>
      <c r="K620" s="43">
        <f>E620-F620-G620-H620-I620-J620</f>
        <v>40</v>
      </c>
      <c r="L620" s="43">
        <v>26</v>
      </c>
      <c r="M620" s="43">
        <f t="shared" si="86"/>
        <v>14</v>
      </c>
      <c r="N620" s="46">
        <f t="shared" si="87"/>
        <v>0.65</v>
      </c>
      <c r="O620" s="70" t="s">
        <v>498</v>
      </c>
    </row>
    <row r="621" spans="1:15" s="5" customFormat="1" ht="29.25" customHeight="1" x14ac:dyDescent="0.3">
      <c r="A621" s="5" t="s">
        <v>1029</v>
      </c>
      <c r="B621" s="30">
        <v>4</v>
      </c>
      <c r="C621" s="17" t="s">
        <v>1023</v>
      </c>
      <c r="D621" s="17" t="s">
        <v>1033</v>
      </c>
      <c r="E621" s="43">
        <v>30</v>
      </c>
      <c r="F621" s="43">
        <v>0</v>
      </c>
      <c r="G621" s="43">
        <v>0</v>
      </c>
      <c r="H621" s="43">
        <v>0</v>
      </c>
      <c r="I621" s="43">
        <v>0</v>
      </c>
      <c r="J621" s="43">
        <v>0</v>
      </c>
      <c r="K621" s="43">
        <f>E621-F621-G621-H621-I621-J621</f>
        <v>30</v>
      </c>
      <c r="L621" s="43">
        <v>28</v>
      </c>
      <c r="M621" s="43">
        <f t="shared" si="86"/>
        <v>2</v>
      </c>
      <c r="N621" s="52">
        <f t="shared" si="87"/>
        <v>0.93333333333333335</v>
      </c>
      <c r="O621" s="74" t="s">
        <v>495</v>
      </c>
    </row>
    <row r="622" spans="1:15" s="5" customFormat="1" ht="29.25" customHeight="1" x14ac:dyDescent="0.3">
      <c r="A622" s="5" t="s">
        <v>1029</v>
      </c>
      <c r="B622" s="30">
        <v>5</v>
      </c>
      <c r="C622" s="17" t="s">
        <v>1028</v>
      </c>
      <c r="D622" s="17" t="s">
        <v>1038</v>
      </c>
      <c r="E622" s="43">
        <v>30</v>
      </c>
      <c r="F622" s="43">
        <f>0+40</f>
        <v>40</v>
      </c>
      <c r="G622" s="43">
        <v>0</v>
      </c>
      <c r="H622" s="43">
        <v>50</v>
      </c>
      <c r="I622" s="43">
        <v>3</v>
      </c>
      <c r="J622" s="43">
        <v>0</v>
      </c>
      <c r="K622" s="43">
        <v>30</v>
      </c>
      <c r="L622" s="43">
        <v>29</v>
      </c>
      <c r="M622" s="43">
        <f t="shared" si="86"/>
        <v>1</v>
      </c>
      <c r="N622" s="52">
        <f t="shared" si="87"/>
        <v>0.96666666666666667</v>
      </c>
      <c r="O622" s="74" t="s">
        <v>495</v>
      </c>
    </row>
    <row r="623" spans="1:15" s="5" customFormat="1" ht="29.25" customHeight="1" x14ac:dyDescent="0.3">
      <c r="A623" s="5" t="s">
        <v>1029</v>
      </c>
      <c r="B623" s="30">
        <v>6</v>
      </c>
      <c r="C623" s="17" t="s">
        <v>1022</v>
      </c>
      <c r="D623" s="17" t="s">
        <v>1032</v>
      </c>
      <c r="E623" s="43">
        <v>30</v>
      </c>
      <c r="F623" s="43">
        <v>0</v>
      </c>
      <c r="G623" s="43">
        <v>0</v>
      </c>
      <c r="H623" s="43">
        <v>0</v>
      </c>
      <c r="I623" s="43">
        <v>0</v>
      </c>
      <c r="J623" s="43">
        <v>0</v>
      </c>
      <c r="K623" s="43">
        <f>E623-F623-G623-H623-I623-J623</f>
        <v>30</v>
      </c>
      <c r="L623" s="43">
        <v>29</v>
      </c>
      <c r="M623" s="43">
        <f t="shared" si="86"/>
        <v>1</v>
      </c>
      <c r="N623" s="52">
        <f t="shared" si="87"/>
        <v>0.96666666666666667</v>
      </c>
      <c r="O623" s="74" t="s">
        <v>495</v>
      </c>
    </row>
    <row r="624" spans="1:15" s="5" customFormat="1" ht="29.25" customHeight="1" x14ac:dyDescent="0.3">
      <c r="A624" s="5" t="s">
        <v>1029</v>
      </c>
      <c r="B624" s="30">
        <v>7</v>
      </c>
      <c r="C624" s="17" t="s">
        <v>1021</v>
      </c>
      <c r="D624" s="17" t="s">
        <v>1031</v>
      </c>
      <c r="E624" s="43">
        <v>30</v>
      </c>
      <c r="F624" s="43">
        <v>0</v>
      </c>
      <c r="G624" s="43">
        <v>0</v>
      </c>
      <c r="H624" s="43">
        <v>0</v>
      </c>
      <c r="I624" s="43">
        <v>0</v>
      </c>
      <c r="J624" s="43">
        <v>0</v>
      </c>
      <c r="K624" s="43">
        <f>E624-F624-G624-H624-I624-J624</f>
        <v>30</v>
      </c>
      <c r="L624" s="43">
        <v>30</v>
      </c>
      <c r="M624" s="43">
        <f t="shared" si="86"/>
        <v>0</v>
      </c>
      <c r="N624" s="64">
        <f t="shared" si="87"/>
        <v>1</v>
      </c>
      <c r="O624" s="75" t="s">
        <v>499</v>
      </c>
    </row>
    <row r="625" spans="1:15" s="5" customFormat="1" ht="29.25" customHeight="1" x14ac:dyDescent="0.3">
      <c r="A625" s="5" t="s">
        <v>1029</v>
      </c>
      <c r="B625" s="30">
        <v>8</v>
      </c>
      <c r="C625" s="17" t="s">
        <v>1026</v>
      </c>
      <c r="D625" s="17" t="s">
        <v>1036</v>
      </c>
      <c r="E625" s="43">
        <v>30</v>
      </c>
      <c r="F625" s="43">
        <v>0</v>
      </c>
      <c r="G625" s="43">
        <v>0</v>
      </c>
      <c r="H625" s="43">
        <v>0</v>
      </c>
      <c r="I625" s="43">
        <v>0</v>
      </c>
      <c r="J625" s="43">
        <v>0</v>
      </c>
      <c r="K625" s="43">
        <f>E625-F625-G625-H625-I625-J625</f>
        <v>30</v>
      </c>
      <c r="L625" s="43">
        <v>30</v>
      </c>
      <c r="M625" s="43">
        <f t="shared" si="86"/>
        <v>0</v>
      </c>
      <c r="N625" s="64">
        <f t="shared" si="87"/>
        <v>1</v>
      </c>
      <c r="O625" s="75" t="s">
        <v>499</v>
      </c>
    </row>
    <row r="626" spans="1:15" s="5" customFormat="1" ht="29.25" customHeight="1" x14ac:dyDescent="0.3">
      <c r="A626" s="5" t="s">
        <v>1029</v>
      </c>
      <c r="B626" s="30">
        <v>9</v>
      </c>
      <c r="C626" s="17" t="s">
        <v>1024</v>
      </c>
      <c r="D626" s="17" t="s">
        <v>1034</v>
      </c>
      <c r="E626" s="43">
        <v>30</v>
      </c>
      <c r="F626" s="43">
        <v>0</v>
      </c>
      <c r="G626" s="43">
        <v>0</v>
      </c>
      <c r="H626" s="43">
        <v>0</v>
      </c>
      <c r="I626" s="43">
        <v>0</v>
      </c>
      <c r="J626" s="43">
        <v>0</v>
      </c>
      <c r="K626" s="43">
        <f>E626-F626-G626-H626-I626-J626</f>
        <v>30</v>
      </c>
      <c r="L626" s="43">
        <v>30</v>
      </c>
      <c r="M626" s="43">
        <f t="shared" si="86"/>
        <v>0</v>
      </c>
      <c r="N626" s="64">
        <f t="shared" si="87"/>
        <v>1</v>
      </c>
      <c r="O626" s="75" t="s">
        <v>499</v>
      </c>
    </row>
    <row r="627" spans="1:15" s="5" customFormat="1" ht="29.25" customHeight="1" x14ac:dyDescent="0.3">
      <c r="A627" s="5" t="s">
        <v>1029</v>
      </c>
      <c r="B627" s="30">
        <v>10</v>
      </c>
      <c r="C627" s="17" t="s">
        <v>1027</v>
      </c>
      <c r="D627" s="17" t="s">
        <v>1037</v>
      </c>
      <c r="E627" s="43">
        <v>30</v>
      </c>
      <c r="F627" s="43">
        <v>0</v>
      </c>
      <c r="G627" s="43">
        <v>0</v>
      </c>
      <c r="H627" s="43">
        <v>0</v>
      </c>
      <c r="I627" s="43">
        <v>0</v>
      </c>
      <c r="J627" s="43">
        <v>0</v>
      </c>
      <c r="K627" s="43">
        <v>30</v>
      </c>
      <c r="L627" s="43">
        <v>30</v>
      </c>
      <c r="M627" s="43">
        <f t="shared" si="86"/>
        <v>0</v>
      </c>
      <c r="N627" s="64">
        <f t="shared" si="87"/>
        <v>1</v>
      </c>
      <c r="O627" s="75" t="s">
        <v>499</v>
      </c>
    </row>
    <row r="628" spans="1:15" s="5" customFormat="1" ht="29.25" customHeight="1" x14ac:dyDescent="0.3">
      <c r="A628" s="5" t="s">
        <v>1029</v>
      </c>
      <c r="B628" s="30">
        <v>11</v>
      </c>
      <c r="C628" s="17" t="s">
        <v>1025</v>
      </c>
      <c r="D628" s="17" t="s">
        <v>1035</v>
      </c>
      <c r="E628" s="43">
        <v>30</v>
      </c>
      <c r="F628" s="43">
        <v>0</v>
      </c>
      <c r="G628" s="43">
        <v>0</v>
      </c>
      <c r="H628" s="43">
        <v>0</v>
      </c>
      <c r="I628" s="43">
        <v>0</v>
      </c>
      <c r="J628" s="43">
        <v>0</v>
      </c>
      <c r="K628" s="43">
        <f>E628-F628-G628-H628-I628-J628</f>
        <v>30</v>
      </c>
      <c r="L628" s="43">
        <v>30</v>
      </c>
      <c r="M628" s="43">
        <f t="shared" si="86"/>
        <v>0</v>
      </c>
      <c r="N628" s="64">
        <f t="shared" si="87"/>
        <v>1</v>
      </c>
      <c r="O628" s="75" t="s">
        <v>499</v>
      </c>
    </row>
    <row r="631" spans="1:15" ht="36.6" x14ac:dyDescent="0.7">
      <c r="E631" s="90"/>
      <c r="G631" s="86"/>
    </row>
    <row r="632" spans="1:15" ht="31.2" x14ac:dyDescent="0.6">
      <c r="E632" s="89"/>
      <c r="G632" s="85"/>
      <c r="H632" s="85"/>
    </row>
    <row r="633" spans="1:15" ht="28.8" x14ac:dyDescent="0.55000000000000004">
      <c r="E633" s="89"/>
    </row>
    <row r="634" spans="1:15" ht="28.8" x14ac:dyDescent="0.55000000000000004">
      <c r="E634" s="89"/>
    </row>
    <row r="641" spans="5:10" ht="31.2" x14ac:dyDescent="0.6">
      <c r="E641" s="85"/>
    </row>
    <row r="645" spans="5:10" ht="33.6" x14ac:dyDescent="0.65">
      <c r="I645" s="86"/>
      <c r="J645" s="86"/>
    </row>
  </sheetData>
  <sortState xmlns:xlrd2="http://schemas.microsoft.com/office/spreadsheetml/2017/richdata2" ref="C3:P59">
    <sortCondition ref="N3:N59"/>
  </sortState>
  <dataValidations count="1">
    <dataValidation type="list" allowBlank="1" showInputMessage="1" showErrorMessage="1" sqref="O453:O463 O464:O473 O445:O452 O230:O274 O3:O202 O295:O444" xr:uid="{ECF4FA8B-DDAE-4715-8607-104A39233950}">
      <formula1>"BAD, VERY LOW, LOW, AVERAGE, GOOD, EXCELLENT"</formula1>
    </dataValidation>
  </dataValidations>
  <pageMargins left="0.7" right="0.7" top="0.75" bottom="0.75" header="0.3" footer="0.3"/>
  <pageSetup paperSize="9" orientation="portrait" r:id="rId1"/>
  <ignoredErrors>
    <ignoredError sqref="E52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KOSKO DXB OWN BRAND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Afthab Roshan</cp:lastModifiedBy>
  <cp:lastPrinted>2025-01-29T17:26:23Z</cp:lastPrinted>
  <dcterms:created xsi:type="dcterms:W3CDTF">2025-01-25T07:19:43Z</dcterms:created>
  <dcterms:modified xsi:type="dcterms:W3CDTF">2025-10-07T11:19:43Z</dcterms:modified>
</cp:coreProperties>
</file>